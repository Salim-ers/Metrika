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 ContentType="application/vnd.ms-exce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EXAMEN29\Documents\Nouveau dossier\Jour 4\"/>
    </mc:Choice>
  </mc:AlternateContent>
  <xr:revisionPtr revIDLastSave="0" documentId="13_ncr:1_{EEEFC6A3-423E-444E-A6C7-0629829D3553}" xr6:coauthVersionLast="47" xr6:coauthVersionMax="47" xr10:uidLastSave="{00000000-0000-0000-0000-000000000000}"/>
  <bookViews>
    <workbookView xWindow="-120" yWindow="-120" windowWidth="29040" windowHeight="15840" firstSheet="8" activeTab="10" xr2:uid="{DE0C55F0-BED6-4B20-B68B-289A0604D549}"/>
  </bookViews>
  <sheets>
    <sheet name="Notes" sheetId="2" r:id="rId1"/>
    <sheet name="CHEMINEMENT" sheetId="16" r:id="rId2"/>
    <sheet name="ÉTUDE DE PRIX" sheetId="5" r:id="rId3"/>
    <sheet name="Questionnaire" sheetId="4" r:id="rId4"/>
    <sheet name="(C.H.M) MAIN D'OEUVRE" sheetId="3" r:id="rId5"/>
    <sheet name="COÛT DES MATÉRIAUX" sheetId="8" r:id="rId6"/>
    <sheet name="SOUS DETAIL INTERMEDIAIRE COFFR" sheetId="9" r:id="rId7"/>
    <sheet name="SOUS DETAIL INTERMEDIAIRE ACIER" sheetId="10" r:id="rId8"/>
    <sheet name="SOUS DETAIL INTERMEDIAIRE BÉTON" sheetId="12" r:id="rId9"/>
    <sheet name="SOUS DETAIL INTERMEDIAIRE MORTI" sheetId="11" r:id="rId10"/>
    <sheet name="SOUS DETAIL UNITAIRE" sheetId="21" r:id="rId11"/>
    <sheet name="CALCUL DES PRIX " sheetId="17" r:id="rId12"/>
    <sheet name="DEVIS ESTIMATIF" sheetId="1" r:id="rId13"/>
    <sheet name="Coef. Vente" sheetId="19" r:id="rId14"/>
    <sheet name="Feuille Vente" sheetId="20" r:id="rId15"/>
    <sheet name="FEUILLE DE VENTE" sheetId="15" r:id="rId16"/>
  </sheets>
  <externalReferences>
    <externalReference r:id="rId17"/>
    <externalReference r:id="rId18"/>
    <externalReference r:id="rId19"/>
    <externalReference r:id="rId20"/>
  </externalReferences>
  <definedNames>
    <definedName name="a">[1]COFF!#REF!</definedName>
    <definedName name="b">[1]COFF!#REF!</definedName>
    <definedName name="bor">'[2]tableau des coef.'!$D$15:$D$19</definedName>
    <definedName name="idem">[3]Information!$G$1:$K$6</definedName>
    <definedName name="Liste1">'[2]Tableau de ventilation ex 13'!$D$21:$D$34</definedName>
    <definedName name="Niveau">[3]Information!$A$1:$A$9</definedName>
    <definedName name="quantité" localSheetId="13">[1]COFF!#REF!</definedName>
    <definedName name="quantité">#REF!</definedName>
    <definedName name="surface" localSheetId="13">[1]COFF!#REF!</definedName>
    <definedName name="surface">#REF!</definedName>
    <definedName name="TH">[3]Information!$A$1:$D$11</definedName>
    <definedName name="zone">[3]Information!$G$2:$G$7</definedName>
    <definedName name="_xlnm.Print_Area" localSheetId="13">'Coef. Vente'!$A$1:$E$16</definedName>
    <definedName name="_xlnm.Print_Area" localSheetId="14">'Feuille Vente'!$A$1:$E$84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3" i="21" l="1"/>
  <c r="F246" i="21" l="1"/>
  <c r="E226" i="21"/>
  <c r="G226" i="21" s="1"/>
  <c r="E227" i="21"/>
  <c r="G227" i="21" s="1"/>
  <c r="E228" i="21"/>
  <c r="G228" i="21" s="1"/>
  <c r="E229" i="21"/>
  <c r="G229" i="21" s="1"/>
  <c r="E230" i="21"/>
  <c r="G230" i="21" s="1"/>
  <c r="E231" i="21"/>
  <c r="G231" i="21" s="1"/>
  <c r="J137" i="21" l="1"/>
  <c r="E137" i="21"/>
  <c r="G137" i="21" s="1"/>
  <c r="J138" i="21"/>
  <c r="E138" i="21"/>
  <c r="G138" i="21" s="1"/>
  <c r="K52" i="21"/>
  <c r="F52" i="21" s="1"/>
  <c r="E50" i="21"/>
  <c r="E51" i="21"/>
  <c r="E52" i="21"/>
  <c r="E53" i="21"/>
  <c r="E54" i="21"/>
  <c r="E55" i="21"/>
  <c r="F417" i="21" l="1"/>
  <c r="D636" i="21"/>
  <c r="D593" i="21"/>
  <c r="D551" i="21"/>
  <c r="D509" i="21"/>
  <c r="D468" i="21"/>
  <c r="D425" i="21"/>
  <c r="D383" i="21"/>
  <c r="G272" i="21" l="1"/>
  <c r="G273" i="21" s="1"/>
  <c r="G274" i="21" s="1"/>
  <c r="G275" i="21" l="1"/>
  <c r="N223" i="21"/>
  <c r="F222" i="21" s="1"/>
  <c r="J223" i="21"/>
  <c r="N179" i="21"/>
  <c r="J179" i="21"/>
  <c r="J182" i="21"/>
  <c r="E182" i="21"/>
  <c r="G182" i="21" s="1"/>
  <c r="J181" i="21"/>
  <c r="E181" i="21"/>
  <c r="G181" i="21" s="1"/>
  <c r="J180" i="21"/>
  <c r="E180" i="21"/>
  <c r="G180" i="21" s="1"/>
  <c r="J136" i="21"/>
  <c r="N135" i="21"/>
  <c r="J135" i="21"/>
  <c r="J93" i="21"/>
  <c r="F93" i="21" s="1"/>
  <c r="N92" i="21"/>
  <c r="F92" i="21" s="1"/>
  <c r="J92" i="21"/>
  <c r="K16" i="21"/>
  <c r="F16" i="21" s="1"/>
  <c r="K15" i="21"/>
  <c r="F15" i="21" s="1"/>
  <c r="K14" i="21"/>
  <c r="F14" i="21" s="1"/>
  <c r="K13" i="21"/>
  <c r="F13" i="21" s="1"/>
  <c r="K12" i="21"/>
  <c r="F12" i="21" s="1"/>
  <c r="K11" i="21"/>
  <c r="F11" i="21" s="1"/>
  <c r="K10" i="21"/>
  <c r="F10" i="21" s="1"/>
  <c r="K8" i="21"/>
  <c r="F8" i="21" s="1"/>
  <c r="N7" i="21"/>
  <c r="F7" i="21" s="1"/>
  <c r="K7" i="21"/>
  <c r="N6" i="21"/>
  <c r="F49" i="21" s="1"/>
  <c r="K6" i="21"/>
  <c r="G276" i="21" l="1"/>
  <c r="G277" i="21" s="1"/>
  <c r="F6" i="21"/>
  <c r="F27" i="1"/>
  <c r="G27" i="1"/>
  <c r="H27" i="1" s="1"/>
  <c r="F23" i="1"/>
  <c r="G23" i="1"/>
  <c r="H23" i="1" s="1"/>
  <c r="F24" i="1"/>
  <c r="G24" i="1"/>
  <c r="H24" i="1"/>
  <c r="F8" i="1"/>
  <c r="G8" i="1"/>
  <c r="H8" i="1" s="1"/>
  <c r="F9" i="1"/>
  <c r="G9" i="1"/>
  <c r="H9" i="1" s="1"/>
  <c r="F10" i="1"/>
  <c r="G10" i="1"/>
  <c r="H10" i="1" s="1"/>
  <c r="F11" i="1"/>
  <c r="G11" i="1"/>
  <c r="H11" i="1" s="1"/>
  <c r="F12" i="1"/>
  <c r="G12" i="1"/>
  <c r="H12" i="1" s="1"/>
  <c r="F13" i="1"/>
  <c r="G13" i="1"/>
  <c r="H13" i="1"/>
  <c r="F14" i="1"/>
  <c r="G14" i="1"/>
  <c r="H14" i="1" s="1"/>
  <c r="F15" i="1"/>
  <c r="G15" i="1"/>
  <c r="H15" i="1"/>
  <c r="F16" i="1"/>
  <c r="G16" i="1"/>
  <c r="H16" i="1" s="1"/>
  <c r="F17" i="1"/>
  <c r="G17" i="1"/>
  <c r="H17" i="1" s="1"/>
  <c r="F18" i="1"/>
  <c r="G18" i="1"/>
  <c r="H18" i="1" s="1"/>
  <c r="F19" i="1"/>
  <c r="G19" i="1"/>
  <c r="H19" i="1" s="1"/>
  <c r="F20" i="1"/>
  <c r="G20" i="1"/>
  <c r="H20" i="1" s="1"/>
  <c r="F21" i="1"/>
  <c r="G21" i="1"/>
  <c r="H21" i="1"/>
  <c r="F22" i="1"/>
  <c r="G22" i="1"/>
  <c r="H22" i="1" s="1"/>
  <c r="F25" i="1"/>
  <c r="G25" i="1"/>
  <c r="H25" i="1" s="1"/>
  <c r="F26" i="1"/>
  <c r="G26" i="1"/>
  <c r="H26" i="1" s="1"/>
  <c r="G7" i="1"/>
  <c r="H7" i="1" s="1"/>
  <c r="F7" i="1"/>
  <c r="F630" i="21"/>
  <c r="F629" i="21"/>
  <c r="F628" i="21"/>
  <c r="F627" i="21"/>
  <c r="F622" i="21"/>
  <c r="F621" i="21"/>
  <c r="F620" i="21"/>
  <c r="F619" i="21"/>
  <c r="E614" i="21"/>
  <c r="G614" i="21" s="1"/>
  <c r="E613" i="21"/>
  <c r="G613" i="21" s="1"/>
  <c r="E612" i="21"/>
  <c r="G612" i="21" s="1"/>
  <c r="E611" i="21"/>
  <c r="G611" i="21" s="1"/>
  <c r="E610" i="21"/>
  <c r="G610" i="21" s="1"/>
  <c r="E609" i="21"/>
  <c r="G609" i="21" s="1"/>
  <c r="E608" i="21"/>
  <c r="G608" i="21" s="1"/>
  <c r="E607" i="21"/>
  <c r="G607" i="21" s="1"/>
  <c r="E606" i="21"/>
  <c r="G606" i="21" s="1"/>
  <c r="E605" i="21"/>
  <c r="G605" i="21" s="1"/>
  <c r="E604" i="21"/>
  <c r="E603" i="21"/>
  <c r="G603" i="21" s="1"/>
  <c r="F599" i="21"/>
  <c r="F587" i="21"/>
  <c r="F586" i="21"/>
  <c r="F585" i="21"/>
  <c r="F584" i="21"/>
  <c r="F579" i="21"/>
  <c r="F578" i="21"/>
  <c r="F577" i="21"/>
  <c r="F576" i="21"/>
  <c r="E571" i="21"/>
  <c r="G571" i="21" s="1"/>
  <c r="E570" i="21"/>
  <c r="G570" i="21" s="1"/>
  <c r="E569" i="21"/>
  <c r="G569" i="21" s="1"/>
  <c r="E568" i="21"/>
  <c r="G568" i="21" s="1"/>
  <c r="E567" i="21"/>
  <c r="G567" i="21" s="1"/>
  <c r="E566" i="21"/>
  <c r="G566" i="21" s="1"/>
  <c r="E565" i="21"/>
  <c r="G565" i="21" s="1"/>
  <c r="E564" i="21"/>
  <c r="G564" i="21" s="1"/>
  <c r="E563" i="21"/>
  <c r="G563" i="21" s="1"/>
  <c r="E562" i="21"/>
  <c r="G562" i="21" s="1"/>
  <c r="E561" i="21"/>
  <c r="G561" i="21" s="1"/>
  <c r="F557" i="21"/>
  <c r="F545" i="21"/>
  <c r="F544" i="21"/>
  <c r="F543" i="21"/>
  <c r="F542" i="21"/>
  <c r="F537" i="21"/>
  <c r="F536" i="21"/>
  <c r="F535" i="21"/>
  <c r="F534" i="21"/>
  <c r="E529" i="21"/>
  <c r="G529" i="21" s="1"/>
  <c r="E528" i="21"/>
  <c r="G528" i="21" s="1"/>
  <c r="E527" i="21"/>
  <c r="G527" i="21" s="1"/>
  <c r="E526" i="21"/>
  <c r="G526" i="21" s="1"/>
  <c r="E525" i="21"/>
  <c r="G525" i="21" s="1"/>
  <c r="E524" i="21"/>
  <c r="G524" i="21" s="1"/>
  <c r="E523" i="21"/>
  <c r="G523" i="21" s="1"/>
  <c r="E522" i="21"/>
  <c r="G522" i="21" s="1"/>
  <c r="E521" i="21"/>
  <c r="G521" i="21" s="1"/>
  <c r="E520" i="21"/>
  <c r="G520" i="21" s="1"/>
  <c r="E519" i="21"/>
  <c r="G519" i="21" s="1"/>
  <c r="E518" i="21"/>
  <c r="G518" i="21" s="1"/>
  <c r="F514" i="21"/>
  <c r="F503" i="21"/>
  <c r="F502" i="21"/>
  <c r="F501" i="21"/>
  <c r="F500" i="21"/>
  <c r="F495" i="21"/>
  <c r="F494" i="21"/>
  <c r="F493" i="21"/>
  <c r="F492" i="21"/>
  <c r="E487" i="21"/>
  <c r="G487" i="21" s="1"/>
  <c r="E486" i="21"/>
  <c r="G486" i="21" s="1"/>
  <c r="E485" i="21"/>
  <c r="G485" i="21" s="1"/>
  <c r="E484" i="21"/>
  <c r="G484" i="21" s="1"/>
  <c r="E483" i="21"/>
  <c r="G483" i="21" s="1"/>
  <c r="E482" i="21"/>
  <c r="G482" i="21" s="1"/>
  <c r="E481" i="21"/>
  <c r="G481" i="21" s="1"/>
  <c r="E480" i="21"/>
  <c r="G480" i="21" s="1"/>
  <c r="E479" i="21"/>
  <c r="G479" i="21" s="1"/>
  <c r="E478" i="21"/>
  <c r="G478" i="21" s="1"/>
  <c r="F474" i="21"/>
  <c r="F462" i="21"/>
  <c r="F461" i="21"/>
  <c r="F460" i="21"/>
  <c r="F459" i="21"/>
  <c r="F454" i="21"/>
  <c r="F453" i="21"/>
  <c r="F452" i="21"/>
  <c r="F451" i="21"/>
  <c r="E446" i="21"/>
  <c r="G446" i="21" s="1"/>
  <c r="E445" i="21"/>
  <c r="G445" i="21" s="1"/>
  <c r="E444" i="21"/>
  <c r="G444" i="21" s="1"/>
  <c r="E443" i="21"/>
  <c r="G443" i="21" s="1"/>
  <c r="E442" i="21"/>
  <c r="G442" i="21" s="1"/>
  <c r="E441" i="21"/>
  <c r="G441" i="21" s="1"/>
  <c r="E440" i="21"/>
  <c r="G440" i="21" s="1"/>
  <c r="E439" i="21"/>
  <c r="G439" i="21" s="1"/>
  <c r="E438" i="21"/>
  <c r="G438" i="21" s="1"/>
  <c r="E437" i="21"/>
  <c r="G437" i="21" s="1"/>
  <c r="E436" i="21"/>
  <c r="E435" i="21"/>
  <c r="G435" i="21" s="1"/>
  <c r="F431" i="21"/>
  <c r="F418" i="21"/>
  <c r="F416" i="21"/>
  <c r="F415" i="21"/>
  <c r="F410" i="21"/>
  <c r="F409" i="21"/>
  <c r="F408" i="21"/>
  <c r="F407" i="21"/>
  <c r="E402" i="21"/>
  <c r="G402" i="21" s="1"/>
  <c r="E401" i="21"/>
  <c r="G401" i="21" s="1"/>
  <c r="E400" i="21"/>
  <c r="G400" i="21" s="1"/>
  <c r="E399" i="21"/>
  <c r="G399" i="21" s="1"/>
  <c r="E398" i="21"/>
  <c r="G398" i="21" s="1"/>
  <c r="E397" i="21"/>
  <c r="G397" i="21" s="1"/>
  <c r="E396" i="21"/>
  <c r="G396" i="21" s="1"/>
  <c r="E395" i="21"/>
  <c r="G395" i="21" s="1"/>
  <c r="E394" i="21"/>
  <c r="G394" i="21" s="1"/>
  <c r="E393" i="21"/>
  <c r="G393" i="21" s="1"/>
  <c r="E392" i="21"/>
  <c r="G392" i="21" s="1"/>
  <c r="E391" i="21"/>
  <c r="G391" i="21" s="1"/>
  <c r="F387" i="21"/>
  <c r="F377" i="21"/>
  <c r="F376" i="21"/>
  <c r="F375" i="21"/>
  <c r="F374" i="21"/>
  <c r="F369" i="21"/>
  <c r="F368" i="21"/>
  <c r="F367" i="21"/>
  <c r="F366" i="21"/>
  <c r="E361" i="21"/>
  <c r="G361" i="21" s="1"/>
  <c r="E360" i="21"/>
  <c r="G360" i="21" s="1"/>
  <c r="E359" i="21"/>
  <c r="G359" i="21" s="1"/>
  <c r="E358" i="21"/>
  <c r="G358" i="21" s="1"/>
  <c r="E357" i="21"/>
  <c r="G357" i="21" s="1"/>
  <c r="E356" i="21"/>
  <c r="G356" i="21" s="1"/>
  <c r="E355" i="21"/>
  <c r="G355" i="21" s="1"/>
  <c r="E354" i="21"/>
  <c r="G354" i="21" s="1"/>
  <c r="E353" i="21"/>
  <c r="G353" i="21" s="1"/>
  <c r="E352" i="21"/>
  <c r="G352" i="21" s="1"/>
  <c r="E351" i="21"/>
  <c r="G351" i="21" s="1"/>
  <c r="E350" i="21"/>
  <c r="G350" i="21" s="1"/>
  <c r="F346" i="21"/>
  <c r="F335" i="21"/>
  <c r="F334" i="21"/>
  <c r="F333" i="21"/>
  <c r="F332" i="21"/>
  <c r="F327" i="21"/>
  <c r="F326" i="21"/>
  <c r="F325" i="21"/>
  <c r="F324" i="21"/>
  <c r="E319" i="21"/>
  <c r="G319" i="21" s="1"/>
  <c r="E318" i="21"/>
  <c r="G318" i="21" s="1"/>
  <c r="E317" i="21"/>
  <c r="G317" i="21" s="1"/>
  <c r="E316" i="21"/>
  <c r="G316" i="21" s="1"/>
  <c r="E315" i="21"/>
  <c r="G315" i="21" s="1"/>
  <c r="E314" i="21"/>
  <c r="G314" i="21" s="1"/>
  <c r="E313" i="21"/>
  <c r="G313" i="21" s="1"/>
  <c r="E312" i="21"/>
  <c r="G312" i="21" s="1"/>
  <c r="E311" i="21"/>
  <c r="G311" i="21" s="1"/>
  <c r="E310" i="21"/>
  <c r="G310" i="21" s="1"/>
  <c r="E309" i="21"/>
  <c r="G309" i="21" s="1"/>
  <c r="E308" i="21"/>
  <c r="G308" i="21" s="1"/>
  <c r="F304" i="21"/>
  <c r="F249" i="21"/>
  <c r="F248" i="21"/>
  <c r="F247" i="21"/>
  <c r="F241" i="21"/>
  <c r="F240" i="21"/>
  <c r="F239" i="21"/>
  <c r="F238" i="21"/>
  <c r="E233" i="21"/>
  <c r="G233" i="21" s="1"/>
  <c r="E232" i="21"/>
  <c r="G232" i="21" s="1"/>
  <c r="E225" i="21"/>
  <c r="G225" i="21" s="1"/>
  <c r="E224" i="21"/>
  <c r="G224" i="21" s="1"/>
  <c r="E223" i="21"/>
  <c r="G223" i="21" s="1"/>
  <c r="E222" i="21"/>
  <c r="G222" i="21" s="1"/>
  <c r="F218" i="21"/>
  <c r="F206" i="21"/>
  <c r="F205" i="21"/>
  <c r="F204" i="21"/>
  <c r="F203" i="21"/>
  <c r="F198" i="21"/>
  <c r="F197" i="21"/>
  <c r="F196" i="21"/>
  <c r="F195" i="21"/>
  <c r="E190" i="21"/>
  <c r="G190" i="21" s="1"/>
  <c r="E189" i="21"/>
  <c r="G189" i="21" s="1"/>
  <c r="E188" i="21"/>
  <c r="G188" i="21" s="1"/>
  <c r="E187" i="21"/>
  <c r="G187" i="21" s="1"/>
  <c r="E186" i="21"/>
  <c r="G186" i="21" s="1"/>
  <c r="E185" i="21"/>
  <c r="G185" i="21" s="1"/>
  <c r="E184" i="21"/>
  <c r="G184" i="21" s="1"/>
  <c r="E183" i="21"/>
  <c r="G183" i="21" s="1"/>
  <c r="E179" i="21"/>
  <c r="G179" i="21" s="1"/>
  <c r="F175" i="21"/>
  <c r="F160" i="21"/>
  <c r="F159" i="21"/>
  <c r="F158" i="21"/>
  <c r="F157" i="21"/>
  <c r="F152" i="21"/>
  <c r="F151" i="21"/>
  <c r="F150" i="21"/>
  <c r="F149" i="21"/>
  <c r="E144" i="21"/>
  <c r="G144" i="21" s="1"/>
  <c r="E143" i="21"/>
  <c r="G143" i="21" s="1"/>
  <c r="E142" i="21"/>
  <c r="G142" i="21" s="1"/>
  <c r="E141" i="21"/>
  <c r="G141" i="21" s="1"/>
  <c r="E140" i="21"/>
  <c r="G140" i="21" s="1"/>
  <c r="E139" i="21"/>
  <c r="G139" i="21" s="1"/>
  <c r="E136" i="21"/>
  <c r="G136" i="21" s="1"/>
  <c r="E135" i="21"/>
  <c r="G135" i="21" s="1"/>
  <c r="F131" i="21"/>
  <c r="F119" i="21"/>
  <c r="F118" i="21"/>
  <c r="F117" i="21"/>
  <c r="F116" i="21"/>
  <c r="F111" i="21"/>
  <c r="F110" i="21"/>
  <c r="F109" i="21"/>
  <c r="F108" i="21"/>
  <c r="E103" i="21"/>
  <c r="G103" i="21" s="1"/>
  <c r="E102" i="21"/>
  <c r="G102" i="21" s="1"/>
  <c r="E101" i="21"/>
  <c r="G101" i="21" s="1"/>
  <c r="E100" i="21"/>
  <c r="G100" i="21" s="1"/>
  <c r="E99" i="21"/>
  <c r="G99" i="21" s="1"/>
  <c r="E98" i="21"/>
  <c r="G98" i="21" s="1"/>
  <c r="E97" i="21"/>
  <c r="G97" i="21" s="1"/>
  <c r="E96" i="21"/>
  <c r="G96" i="21" s="1"/>
  <c r="E95" i="21"/>
  <c r="G95" i="21" s="1"/>
  <c r="E94" i="21"/>
  <c r="G94" i="21" s="1"/>
  <c r="E93" i="21"/>
  <c r="G93" i="21" s="1"/>
  <c r="E92" i="21"/>
  <c r="G92" i="21" s="1"/>
  <c r="F88" i="21"/>
  <c r="F76" i="21"/>
  <c r="F75" i="21"/>
  <c r="F74" i="21"/>
  <c r="F73" i="21"/>
  <c r="F68" i="21"/>
  <c r="F67" i="21"/>
  <c r="F66" i="21"/>
  <c r="F65" i="21"/>
  <c r="E60" i="21"/>
  <c r="G60" i="21" s="1"/>
  <c r="E59" i="21"/>
  <c r="G59" i="21" s="1"/>
  <c r="E58" i="21"/>
  <c r="G58" i="21" s="1"/>
  <c r="E57" i="21"/>
  <c r="G57" i="21" s="1"/>
  <c r="E56" i="21"/>
  <c r="G56" i="21" s="1"/>
  <c r="G55" i="21"/>
  <c r="G54" i="21"/>
  <c r="G53" i="21"/>
  <c r="G52" i="21"/>
  <c r="G51" i="21"/>
  <c r="G50" i="21"/>
  <c r="E49" i="21"/>
  <c r="G49" i="21" s="1"/>
  <c r="F45" i="21"/>
  <c r="E17" i="21"/>
  <c r="G235" i="21" l="1"/>
  <c r="G632" i="21"/>
  <c r="G404" i="21"/>
  <c r="G278" i="21"/>
  <c r="G280" i="21" s="1"/>
  <c r="D39" i="21" s="1"/>
  <c r="G251" i="21"/>
  <c r="G70" i="21"/>
  <c r="G456" i="21"/>
  <c r="G497" i="21"/>
  <c r="G243" i="21"/>
  <c r="G78" i="21"/>
  <c r="G624" i="21"/>
  <c r="G363" i="21"/>
  <c r="G531" i="21"/>
  <c r="G321" i="21"/>
  <c r="G489" i="21"/>
  <c r="G113" i="21"/>
  <c r="G121" i="21"/>
  <c r="G200" i="21"/>
  <c r="G208" i="21"/>
  <c r="G412" i="21"/>
  <c r="G421" i="21"/>
  <c r="G464" i="21"/>
  <c r="G329" i="21"/>
  <c r="G337" i="21"/>
  <c r="G505" i="21"/>
  <c r="G581" i="21"/>
  <c r="G589" i="21"/>
  <c r="G154" i="21"/>
  <c r="G162" i="21"/>
  <c r="G371" i="21"/>
  <c r="G379" i="21"/>
  <c r="G539" i="21"/>
  <c r="G547" i="21"/>
  <c r="G573" i="21"/>
  <c r="G192" i="21"/>
  <c r="G146" i="21"/>
  <c r="G105" i="21"/>
  <c r="G62" i="21"/>
  <c r="L60" i="17"/>
  <c r="L62" i="17"/>
  <c r="D255" i="21" l="1"/>
  <c r="D166" i="21"/>
  <c r="D125" i="21"/>
  <c r="D82" i="21"/>
  <c r="D212" i="21"/>
  <c r="G80" i="21"/>
  <c r="G507" i="21"/>
  <c r="G509" i="21" s="1"/>
  <c r="G253" i="21"/>
  <c r="G339" i="21"/>
  <c r="G341" i="21" s="1"/>
  <c r="G549" i="21"/>
  <c r="G551" i="21" s="1"/>
  <c r="G381" i="21"/>
  <c r="G383" i="21" s="1"/>
  <c r="G423" i="21"/>
  <c r="G425" i="21" s="1"/>
  <c r="G164" i="21"/>
  <c r="G123" i="21"/>
  <c r="G591" i="21"/>
  <c r="G593" i="21" s="1"/>
  <c r="G210" i="21"/>
  <c r="F32" i="21"/>
  <c r="F33" i="21"/>
  <c r="F31" i="21"/>
  <c r="F30" i="21"/>
  <c r="F23" i="21"/>
  <c r="F25" i="21"/>
  <c r="F24" i="21"/>
  <c r="F22" i="21"/>
  <c r="E6" i="21"/>
  <c r="G6" i="21" s="1"/>
  <c r="G17" i="21"/>
  <c r="E16" i="21"/>
  <c r="G16" i="21" s="1"/>
  <c r="E15" i="21"/>
  <c r="G15" i="21" s="1"/>
  <c r="E14" i="21"/>
  <c r="G14" i="21" s="1"/>
  <c r="E13" i="21"/>
  <c r="G13" i="21" s="1"/>
  <c r="E12" i="21"/>
  <c r="G12" i="21" s="1"/>
  <c r="E11" i="21"/>
  <c r="G11" i="21" s="1"/>
  <c r="E10" i="21"/>
  <c r="G10" i="21" s="1"/>
  <c r="E9" i="21"/>
  <c r="G9" i="21" s="1"/>
  <c r="E8" i="21"/>
  <c r="G8" i="21" s="1"/>
  <c r="E7" i="21"/>
  <c r="G7" i="21" s="1"/>
  <c r="F2" i="21"/>
  <c r="G82" i="21" l="1"/>
  <c r="G255" i="21"/>
  <c r="G125" i="21"/>
  <c r="G212" i="21"/>
  <c r="G166" i="21"/>
  <c r="G19" i="21"/>
  <c r="G35" i="21"/>
  <c r="G27" i="21"/>
  <c r="G37" i="21" l="1"/>
  <c r="G39" i="21" l="1"/>
  <c r="F25" i="2"/>
  <c r="F24" i="2"/>
  <c r="E67" i="20"/>
  <c r="E68" i="20" s="1"/>
  <c r="E61" i="20"/>
  <c r="E63" i="20" s="1"/>
  <c r="E55" i="20"/>
  <c r="E58" i="20" s="1"/>
  <c r="D49" i="20"/>
  <c r="D51" i="20" s="1"/>
  <c r="D54" i="20" s="1"/>
  <c r="D55" i="20" s="1"/>
  <c r="D11" i="20"/>
  <c r="D12" i="20" s="1"/>
  <c r="I19" i="19"/>
  <c r="I17" i="19"/>
  <c r="I15" i="19"/>
  <c r="D7" i="19" s="1"/>
  <c r="D13" i="19"/>
  <c r="I12" i="19"/>
  <c r="D11" i="19"/>
  <c r="D9" i="19"/>
  <c r="I8" i="19"/>
  <c r="D10" i="19" s="1"/>
  <c r="G7" i="19"/>
  <c r="E7" i="19"/>
  <c r="E8" i="19" s="1"/>
  <c r="G8" i="19" s="1"/>
  <c r="E3" i="19"/>
  <c r="D61" i="20" l="1"/>
  <c r="D57" i="20"/>
  <c r="D14" i="20"/>
  <c r="D18" i="20"/>
  <c r="D20" i="20" s="1"/>
  <c r="D58" i="20"/>
  <c r="D15" i="20"/>
  <c r="G9" i="19"/>
  <c r="G10" i="19"/>
  <c r="E10" i="19"/>
  <c r="E9" i="19"/>
  <c r="F6" i="1"/>
  <c r="F28" i="1" s="1"/>
  <c r="Z8" i="8"/>
  <c r="J8" i="8"/>
  <c r="G6" i="1"/>
  <c r="H6" i="1" s="1"/>
  <c r="H28" i="1" s="1"/>
  <c r="B1" i="15"/>
  <c r="B1" i="1"/>
  <c r="C1" i="17"/>
  <c r="B1" i="12"/>
  <c r="B1" i="10"/>
  <c r="B1" i="9"/>
  <c r="B1" i="8"/>
  <c r="D5" i="10"/>
  <c r="F5" i="10"/>
  <c r="F6" i="10"/>
  <c r="O37" i="17"/>
  <c r="N37" i="17"/>
  <c r="M37" i="17"/>
  <c r="F37" i="17"/>
  <c r="O36" i="17"/>
  <c r="N36" i="17"/>
  <c r="M36" i="17"/>
  <c r="N35" i="17"/>
  <c r="M35" i="17"/>
  <c r="O34" i="17"/>
  <c r="N34" i="17"/>
  <c r="M34" i="17"/>
  <c r="H34" i="17"/>
  <c r="O33" i="17"/>
  <c r="N33" i="17"/>
  <c r="M33" i="17"/>
  <c r="M32" i="17"/>
  <c r="N32" i="17"/>
  <c r="H32" i="17"/>
  <c r="M31" i="17"/>
  <c r="N31" i="17"/>
  <c r="H31" i="17"/>
  <c r="N30" i="17"/>
  <c r="M30" i="17"/>
  <c r="H30" i="17"/>
  <c r="N29" i="17"/>
  <c r="M29" i="17"/>
  <c r="O28" i="17"/>
  <c r="N28" i="17"/>
  <c r="M28" i="17"/>
  <c r="N27" i="17"/>
  <c r="N26" i="17"/>
  <c r="M26" i="17"/>
  <c r="H26" i="17"/>
  <c r="N25" i="17"/>
  <c r="M25" i="17"/>
  <c r="O24" i="17"/>
  <c r="N24" i="17"/>
  <c r="O23" i="17"/>
  <c r="M23" i="17"/>
  <c r="N23" i="17"/>
  <c r="H23" i="17"/>
  <c r="O22" i="17"/>
  <c r="N22" i="17"/>
  <c r="M22" i="17"/>
  <c r="H22" i="17"/>
  <c r="F22" i="17"/>
  <c r="O21" i="17"/>
  <c r="N21" i="17"/>
  <c r="H21" i="17"/>
  <c r="O20" i="17"/>
  <c r="N20" i="17"/>
  <c r="M20" i="17"/>
  <c r="O19" i="17"/>
  <c r="N19" i="17"/>
  <c r="M19" i="17"/>
  <c r="H19" i="17"/>
  <c r="O18" i="17"/>
  <c r="N18" i="17"/>
  <c r="M18" i="17"/>
  <c r="M27" i="17"/>
  <c r="F18" i="17"/>
  <c r="O17" i="17"/>
  <c r="N17" i="17"/>
  <c r="M17" i="17"/>
  <c r="O16" i="17"/>
  <c r="N16" i="17"/>
  <c r="M16" i="17"/>
  <c r="H16" i="17"/>
  <c r="O15" i="17"/>
  <c r="N15" i="17"/>
  <c r="M15" i="17"/>
  <c r="O14" i="17"/>
  <c r="N14" i="17"/>
  <c r="M14" i="17"/>
  <c r="O13" i="17"/>
  <c r="N13" i="17"/>
  <c r="M13" i="17"/>
  <c r="O12" i="17"/>
  <c r="N12" i="17"/>
  <c r="H12" i="17"/>
  <c r="O11" i="17"/>
  <c r="N11" i="17"/>
  <c r="M11" i="17"/>
  <c r="F11" i="17"/>
  <c r="O10" i="17"/>
  <c r="N10" i="17"/>
  <c r="M24" i="17"/>
  <c r="O9" i="17"/>
  <c r="N9" i="17"/>
  <c r="M9" i="17"/>
  <c r="F9" i="17"/>
  <c r="O8" i="17"/>
  <c r="N8" i="17"/>
  <c r="M8" i="17"/>
  <c r="H8" i="17"/>
  <c r="O7" i="17"/>
  <c r="M7" i="17"/>
  <c r="N7" i="17"/>
  <c r="O6" i="17"/>
  <c r="N6" i="17"/>
  <c r="M6" i="17"/>
  <c r="H6" i="17"/>
  <c r="P1" i="17"/>
  <c r="D16" i="20" l="1"/>
  <c r="D21" i="20" s="1"/>
  <c r="E57" i="20"/>
  <c r="E59" i="20" s="1"/>
  <c r="E64" i="20" s="1"/>
  <c r="E69" i="20" s="1"/>
  <c r="D62" i="20"/>
  <c r="D63" i="20" s="1"/>
  <c r="D59" i="20"/>
  <c r="E11" i="19"/>
  <c r="E12" i="19"/>
  <c r="K22" i="17"/>
  <c r="L22" i="17" s="1"/>
  <c r="N39" i="17"/>
  <c r="H25" i="17"/>
  <c r="O25" i="17"/>
  <c r="M10" i="17"/>
  <c r="O26" i="17"/>
  <c r="O35" i="17"/>
  <c r="H35" i="17"/>
  <c r="M21" i="17"/>
  <c r="O27" i="17"/>
  <c r="H27" i="17"/>
  <c r="H36" i="17"/>
  <c r="F35" i="17"/>
  <c r="F27" i="17"/>
  <c r="F26" i="17"/>
  <c r="K26" i="17" s="1"/>
  <c r="F25" i="17"/>
  <c r="F23" i="17"/>
  <c r="K23" i="17" s="1"/>
  <c r="H20" i="17"/>
  <c r="F19" i="17"/>
  <c r="K19" i="17" s="1"/>
  <c r="H17" i="17"/>
  <c r="H15" i="17"/>
  <c r="F14" i="17"/>
  <c r="F12" i="17"/>
  <c r="K12" i="17" s="1"/>
  <c r="F10" i="17"/>
  <c r="F8" i="17"/>
  <c r="K8" i="17" s="1"/>
  <c r="F6" i="17"/>
  <c r="K6" i="17" s="1"/>
  <c r="F33" i="17"/>
  <c r="F31" i="17"/>
  <c r="K31" i="17" s="1"/>
  <c r="F30" i="17"/>
  <c r="K30" i="17" s="1"/>
  <c r="F24" i="17"/>
  <c r="F21" i="17"/>
  <c r="F36" i="17"/>
  <c r="K36" i="17" s="1"/>
  <c r="F28" i="17"/>
  <c r="H24" i="17"/>
  <c r="F20" i="17"/>
  <c r="H18" i="17"/>
  <c r="K18" i="17" s="1"/>
  <c r="F17" i="17"/>
  <c r="F15" i="17"/>
  <c r="H13" i="17"/>
  <c r="H11" i="17"/>
  <c r="K11" i="17" s="1"/>
  <c r="H9" i="17"/>
  <c r="K9" i="17" s="1"/>
  <c r="H7" i="17"/>
  <c r="H37" i="17"/>
  <c r="K37" i="17" s="1"/>
  <c r="F32" i="17"/>
  <c r="K32" i="17" s="1"/>
  <c r="F29" i="17"/>
  <c r="F7" i="17"/>
  <c r="H10" i="17"/>
  <c r="M12" i="17"/>
  <c r="F13" i="17"/>
  <c r="H14" i="17"/>
  <c r="F16" i="17"/>
  <c r="K16" i="17" s="1"/>
  <c r="H28" i="17"/>
  <c r="H33" i="17"/>
  <c r="F34" i="17"/>
  <c r="K34" i="17" s="1"/>
  <c r="O30" i="17"/>
  <c r="O31" i="17"/>
  <c r="O32" i="17"/>
  <c r="D64" i="20" l="1"/>
  <c r="D67" i="20" s="1"/>
  <c r="D68" i="20" s="1"/>
  <c r="D69" i="20" s="1"/>
  <c r="B73" i="20" s="1"/>
  <c r="D24" i="20"/>
  <c r="D25" i="20" s="1"/>
  <c r="D26" i="20"/>
  <c r="B30" i="20" s="1"/>
  <c r="C75" i="20"/>
  <c r="E70" i="20"/>
  <c r="E71" i="20" s="1"/>
  <c r="G12" i="19"/>
  <c r="G13" i="19" s="1"/>
  <c r="E13" i="19"/>
  <c r="C14" i="19" s="1"/>
  <c r="K17" i="17"/>
  <c r="K15" i="17"/>
  <c r="L15" i="17" s="1"/>
  <c r="K35" i="17"/>
  <c r="L35" i="17" s="1"/>
  <c r="M39" i="17"/>
  <c r="K27" i="17"/>
  <c r="L27" i="17" s="1"/>
  <c r="K13" i="17"/>
  <c r="L13" i="17" s="1"/>
  <c r="K14" i="17"/>
  <c r="L14" i="17" s="1"/>
  <c r="L9" i="17"/>
  <c r="L11" i="17"/>
  <c r="L37" i="17"/>
  <c r="K24" i="17"/>
  <c r="L6" i="17"/>
  <c r="L17" i="17"/>
  <c r="K28" i="17"/>
  <c r="L30" i="17"/>
  <c r="L8" i="17"/>
  <c r="L23" i="17"/>
  <c r="H29" i="17"/>
  <c r="K29" i="17" s="1"/>
  <c r="O29" i="17"/>
  <c r="O39" i="17" s="1"/>
  <c r="L16" i="17"/>
  <c r="L32" i="17"/>
  <c r="L18" i="17"/>
  <c r="L36" i="17"/>
  <c r="L31" i="17"/>
  <c r="K10" i="17"/>
  <c r="K25" i="17"/>
  <c r="L34" i="17"/>
  <c r="K7" i="17"/>
  <c r="K20" i="17"/>
  <c r="K21" i="17"/>
  <c r="K33" i="17"/>
  <c r="L12" i="17"/>
  <c r="L19" i="17"/>
  <c r="L26" i="17"/>
  <c r="B80" i="20" l="1"/>
  <c r="D70" i="20"/>
  <c r="D71" i="20" s="1"/>
  <c r="B82" i="20" s="1"/>
  <c r="B35" i="20"/>
  <c r="B37" i="20" s="1"/>
  <c r="D27" i="20"/>
  <c r="D28" i="20" s="1"/>
  <c r="G14" i="19"/>
  <c r="C16" i="19"/>
  <c r="L29" i="17"/>
  <c r="L20" i="17"/>
  <c r="L24" i="17"/>
  <c r="L7" i="17"/>
  <c r="L10" i="17"/>
  <c r="L21" i="17"/>
  <c r="L25" i="17"/>
  <c r="L33" i="17"/>
  <c r="L28" i="17"/>
  <c r="L39" i="17" l="1"/>
  <c r="L47" i="17" s="1"/>
  <c r="L48" i="17" s="1"/>
  <c r="L50" i="17" l="1"/>
  <c r="L49" i="17"/>
  <c r="L51" i="17" s="1"/>
  <c r="L52" i="17" l="1"/>
  <c r="L53" i="17" s="1"/>
  <c r="L55" i="17" s="1"/>
  <c r="P2" i="17" s="1"/>
  <c r="P6" i="17" s="1"/>
  <c r="Q6" i="17" s="1"/>
  <c r="P22" i="17" l="1"/>
  <c r="Q22" i="17" s="1"/>
  <c r="P9" i="17"/>
  <c r="Q9" i="17" s="1"/>
  <c r="P35" i="17"/>
  <c r="Q35" i="17" s="1"/>
  <c r="P11" i="17"/>
  <c r="Q11" i="17" s="1"/>
  <c r="P13" i="17"/>
  <c r="Q13" i="17" s="1"/>
  <c r="P27" i="17"/>
  <c r="Q27" i="17" s="1"/>
  <c r="P30" i="17"/>
  <c r="Q30" i="17" s="1"/>
  <c r="P23" i="17"/>
  <c r="Q23" i="17" s="1"/>
  <c r="P32" i="17"/>
  <c r="Q32" i="17" s="1"/>
  <c r="P36" i="17"/>
  <c r="Q36" i="17" s="1"/>
  <c r="P12" i="17"/>
  <c r="Q12" i="17" s="1"/>
  <c r="P17" i="17"/>
  <c r="Q17" i="17" s="1"/>
  <c r="P26" i="17"/>
  <c r="Q26" i="17" s="1"/>
  <c r="P37" i="17"/>
  <c r="Q37" i="17" s="1"/>
  <c r="P15" i="17"/>
  <c r="Q15" i="17" s="1"/>
  <c r="P8" i="17"/>
  <c r="Q8" i="17" s="1"/>
  <c r="P16" i="17"/>
  <c r="Q16" i="17" s="1"/>
  <c r="P18" i="17"/>
  <c r="Q18" i="17" s="1"/>
  <c r="P31" i="17"/>
  <c r="Q31" i="17" s="1"/>
  <c r="P34" i="17"/>
  <c r="Q34" i="17" s="1"/>
  <c r="P19" i="17"/>
  <c r="Q19" i="17" s="1"/>
  <c r="P14" i="17"/>
  <c r="Q14" i="17" s="1"/>
  <c r="P7" i="17"/>
  <c r="Q7" i="17" s="1"/>
  <c r="P29" i="17"/>
  <c r="Q29" i="17" s="1"/>
  <c r="P24" i="17"/>
  <c r="Q24" i="17" s="1"/>
  <c r="P10" i="17"/>
  <c r="Q10" i="17" s="1"/>
  <c r="P25" i="17"/>
  <c r="Q25" i="17" s="1"/>
  <c r="P28" i="17"/>
  <c r="Q28" i="17" s="1"/>
  <c r="P20" i="17"/>
  <c r="Q20" i="17" s="1"/>
  <c r="P21" i="17"/>
  <c r="Q21" i="17" s="1"/>
  <c r="P33" i="17"/>
  <c r="Q33" i="17" s="1"/>
  <c r="E33" i="12"/>
  <c r="G33" i="12" s="1"/>
  <c r="E32" i="12"/>
  <c r="G32" i="12" s="1"/>
  <c r="E31" i="12"/>
  <c r="G31" i="12" s="1"/>
  <c r="E30" i="12"/>
  <c r="G30" i="12" s="1"/>
  <c r="E21" i="12"/>
  <c r="G21" i="12" s="1"/>
  <c r="E20" i="12"/>
  <c r="G20" i="12" s="1"/>
  <c r="E19" i="12"/>
  <c r="G19" i="12" s="1"/>
  <c r="E18" i="12"/>
  <c r="G18" i="12" s="1"/>
  <c r="E9" i="12"/>
  <c r="G9" i="12" s="1"/>
  <c r="E8" i="12"/>
  <c r="G8" i="12" s="1"/>
  <c r="E7" i="12"/>
  <c r="G7" i="12" s="1"/>
  <c r="E6" i="12"/>
  <c r="G6" i="12" s="1"/>
  <c r="E23" i="11"/>
  <c r="G23" i="11" s="1"/>
  <c r="E22" i="11"/>
  <c r="G22" i="11" s="1"/>
  <c r="E21" i="11"/>
  <c r="G21" i="11" s="1"/>
  <c r="E20" i="11"/>
  <c r="G20" i="11" s="1"/>
  <c r="E7" i="11"/>
  <c r="G7" i="11" s="1"/>
  <c r="E8" i="11"/>
  <c r="G8" i="11" s="1"/>
  <c r="E6" i="11"/>
  <c r="G6" i="11" s="1"/>
  <c r="E5" i="11"/>
  <c r="G5" i="11" s="1"/>
  <c r="V8" i="8"/>
  <c r="S8"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9" i="8"/>
  <c r="F8" i="8"/>
  <c r="Q39" i="17" l="1"/>
  <c r="H892" i="5"/>
  <c r="F12" i="3" l="1"/>
  <c r="E33" i="15"/>
  <c r="E1" i="15"/>
  <c r="N28" i="15"/>
  <c r="C23" i="15" s="1"/>
  <c r="J28" i="15"/>
  <c r="K28" i="15" s="1"/>
  <c r="O27" i="15"/>
  <c r="L27" i="15"/>
  <c r="C17" i="15" s="1"/>
  <c r="J27" i="15"/>
  <c r="O26" i="15"/>
  <c r="L26" i="15"/>
  <c r="C19" i="15" s="1"/>
  <c r="J26" i="15"/>
  <c r="O24" i="15"/>
  <c r="L24" i="15"/>
  <c r="J24" i="15"/>
  <c r="C24" i="15"/>
  <c r="Q23" i="15"/>
  <c r="D23" i="15"/>
  <c r="B23" i="15"/>
  <c r="H22" i="15"/>
  <c r="C6" i="15" s="1"/>
  <c r="E6" i="15" s="1"/>
  <c r="E9" i="15" s="1"/>
  <c r="E10" i="15" s="1"/>
  <c r="E19" i="15"/>
  <c r="E18" i="15"/>
  <c r="D18" i="15"/>
  <c r="C18" i="15"/>
  <c r="B18" i="15"/>
  <c r="C16" i="15"/>
  <c r="B16" i="15"/>
  <c r="N14" i="15"/>
  <c r="J14" i="15"/>
  <c r="B24" i="15" s="1"/>
  <c r="E13" i="15"/>
  <c r="D13" i="15"/>
  <c r="C13" i="15"/>
  <c r="B13" i="15"/>
  <c r="L13" i="15"/>
  <c r="B17" i="15" s="1"/>
  <c r="J13" i="15"/>
  <c r="C12" i="15"/>
  <c r="L12" i="15"/>
  <c r="B19" i="15" s="1"/>
  <c r="J12" i="15"/>
  <c r="L10" i="15"/>
  <c r="B12" i="15" s="1"/>
  <c r="J10" i="15"/>
  <c r="H8" i="15"/>
  <c r="D6" i="15" s="1"/>
  <c r="D9" i="15" s="1"/>
  <c r="D10" i="15" s="1"/>
  <c r="I1020" i="5"/>
  <c r="I1018" i="5"/>
  <c r="I1017" i="5"/>
  <c r="I1013" i="5"/>
  <c r="J1009" i="5"/>
  <c r="M1004" i="5"/>
  <c r="K1002" i="5"/>
  <c r="O1002" i="5" s="1"/>
  <c r="M998" i="5"/>
  <c r="K996" i="5"/>
  <c r="O996" i="5" s="1"/>
  <c r="K27" i="15" l="1"/>
  <c r="K26" i="15"/>
  <c r="K14" i="15"/>
  <c r="K24" i="15"/>
  <c r="K13" i="15"/>
  <c r="K12" i="15"/>
  <c r="E12" i="15"/>
  <c r="E14" i="15" s="1"/>
  <c r="E17" i="15"/>
  <c r="D19" i="15"/>
  <c r="D17" i="15"/>
  <c r="D12" i="15"/>
  <c r="D14" i="15" s="1"/>
  <c r="B6" i="15"/>
  <c r="K10" i="15"/>
  <c r="D16" i="15" l="1"/>
  <c r="D20" i="15" s="1"/>
  <c r="E16" i="15"/>
  <c r="E20" i="15" s="1"/>
  <c r="E21" i="15" s="1"/>
  <c r="E23" i="15" l="1"/>
  <c r="D21" i="15"/>
  <c r="L967" i="5"/>
  <c r="F961" i="5"/>
  <c r="L956" i="5"/>
  <c r="H961" i="5" s="1"/>
  <c r="F947" i="5"/>
  <c r="H898" i="5"/>
  <c r="H893" i="5"/>
  <c r="H884" i="5"/>
  <c r="H879" i="5"/>
  <c r="H874" i="5"/>
  <c r="I870" i="5"/>
  <c r="G935" i="5"/>
  <c r="G936" i="5" s="1"/>
  <c r="L816" i="5"/>
  <c r="G816" i="5"/>
  <c r="L814" i="5"/>
  <c r="G809" i="5"/>
  <c r="G814" i="5" s="1"/>
  <c r="K804" i="5"/>
  <c r="I809" i="5" s="1"/>
  <c r="D24" i="15" l="1"/>
  <c r="D25" i="15" s="1"/>
  <c r="D33" i="15" s="1"/>
  <c r="E24" i="15"/>
  <c r="E25" i="15" s="1"/>
  <c r="E26" i="15" s="1"/>
  <c r="J961" i="5"/>
  <c r="H894" i="5"/>
  <c r="H895" i="5" s="1"/>
  <c r="H896" i="5" s="1"/>
  <c r="G938" i="5"/>
  <c r="G937" i="5"/>
  <c r="G939" i="5" s="1"/>
  <c r="G940" i="5" s="1"/>
  <c r="K809" i="5"/>
  <c r="D26" i="15" l="1"/>
  <c r="B31" i="15" s="1"/>
  <c r="C32" i="15"/>
  <c r="E27" i="15"/>
  <c r="E28" i="15" s="1"/>
  <c r="G941" i="5"/>
  <c r="D27" i="15" l="1"/>
  <c r="D28" i="15" s="1"/>
  <c r="D29" i="15" s="1"/>
  <c r="G943" i="5"/>
  <c r="F946" i="5"/>
  <c r="I946" i="5" s="1"/>
  <c r="H1" i="12"/>
  <c r="G11" i="12"/>
  <c r="G12" i="12"/>
  <c r="G36" i="12"/>
  <c r="G35" i="12"/>
  <c r="G24" i="12"/>
  <c r="G23" i="12"/>
  <c r="H1" i="11"/>
  <c r="G26" i="11"/>
  <c r="G25" i="11"/>
  <c r="G11" i="11"/>
  <c r="G10" i="11"/>
  <c r="O725" i="5"/>
  <c r="O726" i="5"/>
  <c r="O727" i="5"/>
  <c r="F25" i="10"/>
  <c r="F24" i="10"/>
  <c r="F21" i="10"/>
  <c r="F20" i="10"/>
  <c r="H9" i="11" l="1"/>
  <c r="H13" i="12"/>
  <c r="H10" i="12"/>
  <c r="H34" i="12"/>
  <c r="H37" i="12"/>
  <c r="H25" i="12"/>
  <c r="H22" i="12"/>
  <c r="H27" i="11"/>
  <c r="H24" i="11"/>
  <c r="H12" i="11"/>
  <c r="G26" i="10"/>
  <c r="G23" i="10"/>
  <c r="G27" i="10" s="1"/>
  <c r="G28" i="10" s="1"/>
  <c r="G11" i="10"/>
  <c r="G1" i="10"/>
  <c r="F10" i="10"/>
  <c r="F9" i="10"/>
  <c r="G19" i="9"/>
  <c r="G35" i="9"/>
  <c r="F17" i="9"/>
  <c r="F21" i="9" s="1"/>
  <c r="F33" i="9"/>
  <c r="E30" i="9"/>
  <c r="E37" i="9" s="1"/>
  <c r="G1" i="9"/>
  <c r="G37" i="9"/>
  <c r="F37" i="9"/>
  <c r="G21" i="9"/>
  <c r="E10" i="9"/>
  <c r="F372" i="5"/>
  <c r="H394" i="5"/>
  <c r="H395" i="5" s="1"/>
  <c r="G391" i="5"/>
  <c r="G395" i="5" s="1"/>
  <c r="F389" i="5"/>
  <c r="F395" i="5" s="1"/>
  <c r="H381" i="5"/>
  <c r="G381" i="5"/>
  <c r="F371" i="5"/>
  <c r="F369" i="5"/>
  <c r="H14" i="12" l="1"/>
  <c r="H13" i="11"/>
  <c r="F436" i="21" s="1"/>
  <c r="G436" i="21" s="1"/>
  <c r="G448" i="21" s="1"/>
  <c r="G466" i="21" s="1"/>
  <c r="G468" i="21" s="1"/>
  <c r="H38" i="12"/>
  <c r="H26" i="12"/>
  <c r="H28" i="11"/>
  <c r="F604" i="21" s="1"/>
  <c r="G604" i="21" s="1"/>
  <c r="G616" i="21" s="1"/>
  <c r="G634" i="21" s="1"/>
  <c r="G636" i="21" s="1"/>
  <c r="G8" i="10"/>
  <c r="G38" i="9"/>
  <c r="E21" i="9"/>
  <c r="G22" i="9" s="1"/>
  <c r="G23" i="9" s="1"/>
  <c r="G24" i="9" s="1"/>
  <c r="G39" i="9"/>
  <c r="F381" i="5"/>
  <c r="H382" i="5" s="1"/>
  <c r="H383" i="5" s="1"/>
  <c r="H384" i="5" s="1"/>
  <c r="H396" i="5"/>
  <c r="G12" i="10" l="1"/>
  <c r="G13" i="10" s="1"/>
  <c r="G40" i="9"/>
  <c r="H397" i="5"/>
  <c r="H328" i="5" l="1"/>
  <c r="C308" i="5"/>
  <c r="H308" i="5" s="1"/>
  <c r="F303" i="5"/>
  <c r="F296" i="5"/>
  <c r="E285" i="5"/>
  <c r="E287" i="5" s="1"/>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V10" i="8"/>
  <c r="W10" i="8" s="1"/>
  <c r="Y10" i="8" s="1"/>
  <c r="V11" i="8"/>
  <c r="V12" i="8"/>
  <c r="V13" i="8"/>
  <c r="V14" i="8"/>
  <c r="W14" i="8" s="1"/>
  <c r="Y14" i="8" s="1"/>
  <c r="V15" i="8"/>
  <c r="V16" i="8"/>
  <c r="V17" i="8"/>
  <c r="V18" i="8"/>
  <c r="W18" i="8" s="1"/>
  <c r="Y18" i="8" s="1"/>
  <c r="V19" i="8"/>
  <c r="V20" i="8"/>
  <c r="V21" i="8"/>
  <c r="W21" i="8" s="1"/>
  <c r="Y21" i="8" s="1"/>
  <c r="V22" i="8"/>
  <c r="W22" i="8" s="1"/>
  <c r="Y22" i="8" s="1"/>
  <c r="V23" i="8"/>
  <c r="V24" i="8"/>
  <c r="V25" i="8"/>
  <c r="W25" i="8" s="1"/>
  <c r="Y25" i="8" s="1"/>
  <c r="V26" i="8"/>
  <c r="W26" i="8" s="1"/>
  <c r="Y26" i="8" s="1"/>
  <c r="V27" i="8"/>
  <c r="V28" i="8"/>
  <c r="V29" i="8"/>
  <c r="V30" i="8"/>
  <c r="W30" i="8" s="1"/>
  <c r="Y30" i="8" s="1"/>
  <c r="V31" i="8"/>
  <c r="V32" i="8"/>
  <c r="V33" i="8"/>
  <c r="V34" i="8"/>
  <c r="W34" i="8" s="1"/>
  <c r="Y34" i="8" s="1"/>
  <c r="V35" i="8"/>
  <c r="V36" i="8"/>
  <c r="V37" i="8"/>
  <c r="V38" i="8"/>
  <c r="W38" i="8" s="1"/>
  <c r="Y38" i="8" s="1"/>
  <c r="V39" i="8"/>
  <c r="V40" i="8"/>
  <c r="W40" i="8" s="1"/>
  <c r="Y40" i="8" s="1"/>
  <c r="V41" i="8"/>
  <c r="V42" i="8"/>
  <c r="V43" i="8"/>
  <c r="V44" i="8"/>
  <c r="W44" i="8" s="1"/>
  <c r="Y44" i="8" s="1"/>
  <c r="V45" i="8"/>
  <c r="V9" i="8"/>
  <c r="W37" i="8"/>
  <c r="Y37" i="8" s="1"/>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M8" i="8"/>
  <c r="Y1" i="8"/>
  <c r="Z138" i="5"/>
  <c r="W42" i="8" l="1"/>
  <c r="Y42" i="8" s="1"/>
  <c r="W36" i="8"/>
  <c r="Y36" i="8" s="1"/>
  <c r="W32" i="8"/>
  <c r="Y32" i="8" s="1"/>
  <c r="W28" i="8"/>
  <c r="Y28" i="8" s="1"/>
  <c r="W24" i="8"/>
  <c r="Y24" i="8" s="1"/>
  <c r="W20" i="8"/>
  <c r="Y20" i="8" s="1"/>
  <c r="W16" i="8"/>
  <c r="Y16" i="8" s="1"/>
  <c r="W12" i="8"/>
  <c r="Y12" i="8" s="1"/>
  <c r="Z12" i="8" s="1"/>
  <c r="N37" i="8"/>
  <c r="P37" i="8" s="1"/>
  <c r="Z37" i="8" s="1"/>
  <c r="N33" i="8"/>
  <c r="P33" i="8" s="1"/>
  <c r="N29" i="8"/>
  <c r="P29" i="8" s="1"/>
  <c r="N25" i="8"/>
  <c r="P25" i="8" s="1"/>
  <c r="Z25" i="8" s="1"/>
  <c r="N21" i="8"/>
  <c r="P21" i="8" s="1"/>
  <c r="N17" i="8"/>
  <c r="P17" i="8" s="1"/>
  <c r="N13" i="8"/>
  <c r="P13" i="8" s="1"/>
  <c r="N15" i="8"/>
  <c r="P15" i="8" s="1"/>
  <c r="N11" i="8"/>
  <c r="P11" i="8" s="1"/>
  <c r="N43" i="8"/>
  <c r="P43" i="8" s="1"/>
  <c r="N14" i="8"/>
  <c r="P14" i="8" s="1"/>
  <c r="N42" i="8"/>
  <c r="P42" i="8" s="1"/>
  <c r="N36" i="8"/>
  <c r="P36" i="8" s="1"/>
  <c r="Z36" i="8" s="1"/>
  <c r="N32" i="8"/>
  <c r="P32" i="8" s="1"/>
  <c r="N28" i="8"/>
  <c r="P28" i="8" s="1"/>
  <c r="N24" i="8"/>
  <c r="P24" i="8" s="1"/>
  <c r="N20" i="8"/>
  <c r="P20" i="8" s="1"/>
  <c r="Z20" i="8" s="1"/>
  <c r="N16" i="8"/>
  <c r="P16" i="8" s="1"/>
  <c r="N12" i="8"/>
  <c r="P12" i="8" s="1"/>
  <c r="N45" i="8"/>
  <c r="P45" i="8" s="1"/>
  <c r="N41" i="8"/>
  <c r="P41" i="8" s="1"/>
  <c r="N39" i="8"/>
  <c r="P39" i="8" s="1"/>
  <c r="N35" i="8"/>
  <c r="P35" i="8" s="1"/>
  <c r="N31" i="8"/>
  <c r="P31" i="8" s="1"/>
  <c r="N27" i="8"/>
  <c r="P27" i="8" s="1"/>
  <c r="N23" i="8"/>
  <c r="P23" i="8" s="1"/>
  <c r="N19" i="8"/>
  <c r="P19" i="8" s="1"/>
  <c r="N44" i="8"/>
  <c r="P44" i="8" s="1"/>
  <c r="Z44" i="8" s="1"/>
  <c r="N40" i="8"/>
  <c r="P40" i="8" s="1"/>
  <c r="Z40" i="8" s="1"/>
  <c r="N38" i="8"/>
  <c r="P38" i="8" s="1"/>
  <c r="Z38" i="8" s="1"/>
  <c r="N34" i="8"/>
  <c r="P34" i="8" s="1"/>
  <c r="Z34" i="8" s="1"/>
  <c r="N30" i="8"/>
  <c r="P30" i="8" s="1"/>
  <c r="Z30" i="8" s="1"/>
  <c r="N26" i="8"/>
  <c r="P26" i="8" s="1"/>
  <c r="Z26" i="8" s="1"/>
  <c r="N22" i="8"/>
  <c r="P22" i="8" s="1"/>
  <c r="Z22" i="8" s="1"/>
  <c r="N18" i="8"/>
  <c r="P18" i="8" s="1"/>
  <c r="N10" i="8"/>
  <c r="P10" i="8" s="1"/>
  <c r="Z10" i="8" s="1"/>
  <c r="W41" i="8"/>
  <c r="Y41" i="8" s="1"/>
  <c r="W35" i="8"/>
  <c r="Y35" i="8" s="1"/>
  <c r="W31" i="8"/>
  <c r="Y31" i="8" s="1"/>
  <c r="W27" i="8"/>
  <c r="Y27" i="8" s="1"/>
  <c r="Z27" i="8" s="1"/>
  <c r="W19" i="8"/>
  <c r="Y19" i="8" s="1"/>
  <c r="W43" i="8"/>
  <c r="Y43" i="8" s="1"/>
  <c r="Z43" i="8" s="1"/>
  <c r="W29" i="8"/>
  <c r="Y29" i="8" s="1"/>
  <c r="Z29" i="8" s="1"/>
  <c r="W17" i="8"/>
  <c r="Y17" i="8" s="1"/>
  <c r="Z17" i="8" s="1"/>
  <c r="W13" i="8"/>
  <c r="Y13" i="8" s="1"/>
  <c r="N9" i="8"/>
  <c r="P9" i="8" s="1"/>
  <c r="W33" i="8"/>
  <c r="Y33" i="8" s="1"/>
  <c r="Z33" i="8" s="1"/>
  <c r="W23" i="8"/>
  <c r="Y23" i="8" s="1"/>
  <c r="W11" i="8"/>
  <c r="Y11" i="8" s="1"/>
  <c r="W9" i="8"/>
  <c r="Y9" i="8" s="1"/>
  <c r="Z9" i="8" s="1"/>
  <c r="N8" i="8"/>
  <c r="P8" i="8" s="1"/>
  <c r="Z28" i="8"/>
  <c r="Z24" i="8"/>
  <c r="Z14" i="8"/>
  <c r="Z21" i="8"/>
  <c r="Z42" i="8"/>
  <c r="Z41" i="8"/>
  <c r="Z18" i="8"/>
  <c r="W45" i="8"/>
  <c r="Y45" i="8" s="1"/>
  <c r="W39" i="8"/>
  <c r="Y39" i="8" s="1"/>
  <c r="W15" i="8"/>
  <c r="Y15" i="8" s="1"/>
  <c r="W8" i="8"/>
  <c r="Y8" i="8" s="1"/>
  <c r="F125" i="5"/>
  <c r="I23" i="3"/>
  <c r="J9" i="3"/>
  <c r="I9" i="3"/>
  <c r="H9" i="3"/>
  <c r="G9" i="3"/>
  <c r="J23" i="3"/>
  <c r="H23" i="3"/>
  <c r="G23" i="3"/>
  <c r="J22" i="3"/>
  <c r="I22" i="3"/>
  <c r="H22" i="3"/>
  <c r="G22" i="3"/>
  <c r="J21" i="3"/>
  <c r="I21" i="3"/>
  <c r="H21" i="3"/>
  <c r="G21" i="3"/>
  <c r="Z19" i="8" l="1"/>
  <c r="Z13" i="8"/>
  <c r="Z11" i="8"/>
  <c r="Z16" i="8"/>
  <c r="Z32" i="8"/>
  <c r="Z15" i="8"/>
  <c r="Z35" i="8"/>
  <c r="Z31" i="8"/>
  <c r="Z39" i="8"/>
  <c r="Z23" i="8"/>
  <c r="Z45" i="8"/>
  <c r="H27" i="3"/>
  <c r="H32" i="3" s="1"/>
  <c r="H38" i="3" s="1"/>
  <c r="G27" i="3"/>
  <c r="G32" i="3" s="1"/>
  <c r="G38" i="3" s="1"/>
  <c r="J27" i="3"/>
  <c r="J32" i="3" s="1"/>
  <c r="J38" i="3" s="1"/>
  <c r="I27" i="3"/>
  <c r="I32" i="3" s="1"/>
  <c r="I38" i="3" s="1"/>
  <c r="H12" i="3"/>
  <c r="H14" i="3" s="1"/>
  <c r="J24" i="3"/>
  <c r="H24" i="3"/>
  <c r="G24" i="3"/>
  <c r="J2" i="3"/>
  <c r="I24" i="3" s="1"/>
  <c r="G12" i="3" l="1"/>
  <c r="G14" i="3" s="1"/>
  <c r="G16" i="3" s="1"/>
  <c r="J12" i="3"/>
  <c r="J14" i="3" s="1"/>
  <c r="J16" i="3" s="1"/>
  <c r="J18" i="3" s="1"/>
  <c r="J36" i="3" s="1"/>
  <c r="J40" i="3" s="1"/>
  <c r="J42" i="3" s="1"/>
  <c r="J47" i="3" s="1"/>
  <c r="I12" i="3"/>
  <c r="I14" i="3" s="1"/>
  <c r="I16" i="3" s="1"/>
  <c r="I18" i="3" s="1"/>
  <c r="I36" i="3" s="1"/>
  <c r="I40" i="3" s="1"/>
  <c r="I42" i="3" s="1"/>
  <c r="I47" i="3" s="1"/>
  <c r="H16" i="3"/>
  <c r="H18" i="3" s="1"/>
  <c r="H36" i="3" s="1"/>
  <c r="H40" i="3" s="1"/>
  <c r="H42" i="3" s="1"/>
  <c r="H47" i="3" s="1"/>
  <c r="G18" i="3" l="1"/>
  <c r="G36" i="3" s="1"/>
  <c r="G40" i="3" s="1"/>
  <c r="G42" i="3" s="1"/>
  <c r="G47" i="3" s="1"/>
  <c r="G48" i="3" s="1"/>
  <c r="G49" i="3" s="1"/>
  <c r="H1" i="1" l="1"/>
</calcChain>
</file>

<file path=xl/sharedStrings.xml><?xml version="1.0" encoding="utf-8"?>
<sst xmlns="http://schemas.openxmlformats.org/spreadsheetml/2006/main" count="2575" uniqueCount="1296">
  <si>
    <t>Coefficient de règlement :</t>
  </si>
  <si>
    <t>code</t>
  </si>
  <si>
    <t>désignation des ouvrages</t>
  </si>
  <si>
    <t>U</t>
  </si>
  <si>
    <t>quantités</t>
  </si>
  <si>
    <t>déboursés secs</t>
  </si>
  <si>
    <t>prix de vente H.T.</t>
  </si>
  <si>
    <t>P.U.</t>
  </si>
  <si>
    <t>Total D.S.</t>
  </si>
  <si>
    <t>Total D.T.</t>
  </si>
  <si>
    <t xml:space="preserve">Projet  : </t>
  </si>
  <si>
    <t>ml</t>
  </si>
  <si>
    <t>m²</t>
  </si>
  <si>
    <t>T</t>
  </si>
  <si>
    <t>kg</t>
  </si>
  <si>
    <t>l</t>
  </si>
  <si>
    <t>€</t>
  </si>
  <si>
    <t>montant 
4 x 5</t>
  </si>
  <si>
    <t>P.U.
5 x coef.</t>
  </si>
  <si>
    <t>montant
4 x 7</t>
  </si>
  <si>
    <t>01</t>
  </si>
  <si>
    <t>Zone:</t>
  </si>
  <si>
    <t>ORGANISATION DU TRAVAIL HEBDOMADAIRE:</t>
  </si>
  <si>
    <t xml:space="preserve">Heures en </t>
  </si>
  <si>
    <t>jours</t>
  </si>
  <si>
    <t>ELEMENTS DU SALAIRE</t>
  </si>
  <si>
    <t>Qualification main d'oeuvre</t>
  </si>
  <si>
    <t>SALAIRE DE BASE HORAIRE</t>
  </si>
  <si>
    <t xml:space="preserve">Incidence heures supplémentaires </t>
  </si>
  <si>
    <t>Indemnités journalières ramenées à l'heure:</t>
  </si>
  <si>
    <t>REPAS</t>
  </si>
  <si>
    <t>TRANSPORT</t>
  </si>
  <si>
    <t>TRAJET</t>
  </si>
  <si>
    <t xml:space="preserve">Total </t>
  </si>
  <si>
    <t>Primes diverses ramenées à l'heure</t>
  </si>
  <si>
    <t>(outillage, salissure, etc...)</t>
  </si>
  <si>
    <t>CHARGES SALARIALES</t>
  </si>
  <si>
    <t>COUT HORAIRE DE MAIN D'OEUVRE</t>
  </si>
  <si>
    <t>Nombre de personnes:</t>
  </si>
  <si>
    <t>COUT HORAIRE MOYEN</t>
  </si>
  <si>
    <t>Questionnaire</t>
  </si>
  <si>
    <t>DEVIS ESTIMATIF</t>
  </si>
  <si>
    <t>=</t>
  </si>
  <si>
    <t>x</t>
  </si>
  <si>
    <t>Le prix unitaire</t>
  </si>
  <si>
    <t>Le montant des déboursés secs</t>
  </si>
  <si>
    <t>Les quantités</t>
  </si>
  <si>
    <t>Le prix de vente HT d'un prix unitaire</t>
  </si>
  <si>
    <t>Coefficient de règlement</t>
  </si>
  <si>
    <t>Le montant de prix de vente HT</t>
  </si>
  <si>
    <t>MAIN D'OEUVRE</t>
  </si>
  <si>
    <t>Code</t>
  </si>
  <si>
    <t>Désignation des ouvrages</t>
  </si>
  <si>
    <t>Quantités</t>
  </si>
  <si>
    <t>Prix de vente H.T.</t>
  </si>
  <si>
    <t>Déboursés secs</t>
  </si>
  <si>
    <t>Projet :</t>
  </si>
  <si>
    <t>Date :</t>
  </si>
  <si>
    <t>CE 2</t>
  </si>
  <si>
    <t>CP 1</t>
  </si>
  <si>
    <t>OP</t>
  </si>
  <si>
    <t>OE 2</t>
  </si>
  <si>
    <t>Niveau I : ouvriers d’exécution</t>
  </si>
  <si>
    <t>Niveau II : ouvriers professionnels</t>
  </si>
  <si>
    <t>Niveau III : compagnons professionnels</t>
  </si>
  <si>
    <t>Niveau IV : maîtres d’œuvre et chefs d’équipe</t>
  </si>
  <si>
    <t>Catégorie Professionnelle</t>
  </si>
  <si>
    <t>Coefficient</t>
  </si>
  <si>
    <t>Salaire mensuel brut minimum</t>
  </si>
  <si>
    <t>Taux horaire</t>
  </si>
  <si>
    <t>Niveau I - Position 1</t>
  </si>
  <si>
    <t>Niveau I - Position 2</t>
  </si>
  <si>
    <t>Niveau II</t>
  </si>
  <si>
    <t>Niveau III - Position 1</t>
  </si>
  <si>
    <t>Niveau III - Position 2</t>
  </si>
  <si>
    <t>Niveau IV - Position 1</t>
  </si>
  <si>
    <t>Niveau IV - Position 2</t>
  </si>
  <si>
    <t>La grille de salaires des ouvriers du BTP en 2024</t>
  </si>
  <si>
    <t>Classification</t>
  </si>
  <si>
    <t>A</t>
  </si>
  <si>
    <t>B</t>
  </si>
  <si>
    <t>C</t>
  </si>
  <si>
    <t>D</t>
  </si>
  <si>
    <t>E</t>
  </si>
  <si>
    <t>F</t>
  </si>
  <si>
    <t>G</t>
  </si>
  <si>
    <t>H</t>
  </si>
  <si>
    <t>La grille de salaires des employés ETAM du BTP en 2024</t>
  </si>
  <si>
    <t>OE 1</t>
  </si>
  <si>
    <t>CP 2</t>
  </si>
  <si>
    <t>CE 1</t>
  </si>
  <si>
    <t>Zone</t>
  </si>
  <si>
    <t xml:space="preserve">Kms </t>
  </si>
  <si>
    <t>Repas</t>
  </si>
  <si>
    <t>Frais de transport</t>
  </si>
  <si>
    <t>Trajet</t>
  </si>
  <si>
    <t>1A</t>
  </si>
  <si>
    <t>1B</t>
  </si>
  <si>
    <t>0-5</t>
  </si>
  <si>
    <t>5-10</t>
  </si>
  <si>
    <t>10-20</t>
  </si>
  <si>
    <t>20-30</t>
  </si>
  <si>
    <t>30-40</t>
  </si>
  <si>
    <t>40-50</t>
  </si>
  <si>
    <t>Barème des déplacements</t>
  </si>
  <si>
    <t>Ensemble</t>
  </si>
  <si>
    <t>Temps improductif</t>
  </si>
  <si>
    <t>TOTAL</t>
  </si>
  <si>
    <t xml:space="preserve">Total Nbre de jours / Nbre d'heures </t>
  </si>
  <si>
    <t>TOTAL Indemnités + primes</t>
  </si>
  <si>
    <t>Sur indemnités</t>
  </si>
  <si>
    <t>TOTAL DES CHARGES</t>
  </si>
  <si>
    <t xml:space="preserve">TOTAL </t>
  </si>
  <si>
    <t>COUT HORAIRE DE L'EQUIPE</t>
  </si>
  <si>
    <t xml:space="preserve">Chantier: </t>
  </si>
  <si>
    <t>TEMPS UNITAIRE</t>
  </si>
  <si>
    <t>Conversion des minutes en heure décimale</t>
  </si>
  <si>
    <t>+</t>
  </si>
  <si>
    <t>Durée en min</t>
  </si>
  <si>
    <t>60 min</t>
  </si>
  <si>
    <t xml:space="preserve">Durée en heures = </t>
  </si>
  <si>
    <t>Durée en heures</t>
  </si>
  <si>
    <t>4h 20mn =</t>
  </si>
  <si>
    <t>4h</t>
  </si>
  <si>
    <t>20mn</t>
  </si>
  <si>
    <t>60mn</t>
  </si>
  <si>
    <t>4,33h</t>
  </si>
  <si>
    <t>Détermination d’un temps unitaire sur un chantiers</t>
  </si>
  <si>
    <t>Main d’œuvre =</t>
  </si>
  <si>
    <r>
      <t xml:space="preserve">Temps d’exécution </t>
    </r>
    <r>
      <rPr>
        <sz val="11"/>
        <color rgb="FFFF0000"/>
        <rFont val="Calibri"/>
        <family val="2"/>
      </rPr>
      <t>en h</t>
    </r>
  </si>
  <si>
    <r>
      <t xml:space="preserve">Quantité exécutée </t>
    </r>
    <r>
      <rPr>
        <sz val="11"/>
        <color rgb="FFFF0000"/>
        <rFont val="Calibri"/>
        <family val="2"/>
      </rPr>
      <t>en m² ou m</t>
    </r>
    <r>
      <rPr>
        <sz val="11"/>
        <color rgb="FFFF0000"/>
        <rFont val="Aptos Narrow"/>
        <family val="2"/>
      </rPr>
      <t>³</t>
    </r>
  </si>
  <si>
    <r>
      <t xml:space="preserve">Temps unitaire </t>
    </r>
    <r>
      <rPr>
        <sz val="11"/>
        <color rgb="FFFF0000"/>
        <rFont val="Calibri"/>
        <family val="2"/>
      </rPr>
      <t>en h/m²ou m</t>
    </r>
    <r>
      <rPr>
        <sz val="11"/>
        <color rgb="FFFF0000"/>
        <rFont val="Aptos Narrow"/>
        <family val="2"/>
      </rPr>
      <t>³</t>
    </r>
  </si>
  <si>
    <r>
      <t>15,850 m</t>
    </r>
    <r>
      <rPr>
        <sz val="11"/>
        <color theme="1"/>
        <rFont val="Aptos Narrow"/>
        <family val="2"/>
      </rPr>
      <t>³</t>
    </r>
  </si>
  <si>
    <r>
      <t>h/m</t>
    </r>
    <r>
      <rPr>
        <sz val="11"/>
        <color rgb="FFFF0000"/>
        <rFont val="Aptos Narrow"/>
        <family val="2"/>
      </rPr>
      <t>³</t>
    </r>
  </si>
  <si>
    <t>exprimé en pourcentage sur (1)=</t>
  </si>
  <si>
    <t>Ensemble (1) + (2) =</t>
  </si>
  <si>
    <t>Temps improductif: % sur (3):</t>
  </si>
  <si>
    <t>TOTAL (3) + (4) =</t>
  </si>
  <si>
    <t>Total x Nbre de jours</t>
  </si>
  <si>
    <t xml:space="preserve">          / Nbre d'heures =</t>
  </si>
  <si>
    <t>TOTAL Indemnités + primes (6) + (7) =</t>
  </si>
  <si>
    <t>(avec abattement de 10%)</t>
  </si>
  <si>
    <t>sur salaires: % sur (5) =</t>
  </si>
  <si>
    <t>sur indemnités: % sur (8) =</t>
  </si>
  <si>
    <t>TOTAL DES CHARGES (9) + (10) =</t>
  </si>
  <si>
    <t>(5) + (8) + (11) =</t>
  </si>
  <si>
    <t>TOTAL : (12) x (13) =</t>
  </si>
  <si>
    <t>COUT HORAIRE DE L'EQUIPE: somme (14) =</t>
  </si>
  <si>
    <t>(15) / (13 total) =</t>
  </si>
  <si>
    <t>Calculer le coût des matériaux rendus chantier</t>
  </si>
  <si>
    <t>Matériaux</t>
  </si>
  <si>
    <t>Salaires + Charges</t>
  </si>
  <si>
    <t>Matériel affecté</t>
  </si>
  <si>
    <t>Déboursés totaux</t>
  </si>
  <si>
    <t>Prix de vente T.T.C.</t>
  </si>
  <si>
    <t>Quantitatif</t>
  </si>
  <si>
    <t>Prix Unitaires D.S.</t>
  </si>
  <si>
    <t>Frais de chantier</t>
  </si>
  <si>
    <t>Frais de marché</t>
  </si>
  <si>
    <t>Frais généraux</t>
  </si>
  <si>
    <t>Prix de revient</t>
  </si>
  <si>
    <t>Bénéfice</t>
  </si>
  <si>
    <t>T.V.A.</t>
  </si>
  <si>
    <t>Unité</t>
  </si>
  <si>
    <t>19 + 22</t>
  </si>
  <si>
    <t>10 + 13</t>
  </si>
  <si>
    <t>11 x 12</t>
  </si>
  <si>
    <t>8 x 9</t>
  </si>
  <si>
    <t>Nbre</t>
  </si>
  <si>
    <t>%</t>
  </si>
  <si>
    <t>Matériel</t>
  </si>
  <si>
    <t>Terme horaire</t>
  </si>
  <si>
    <t>COUT DU DECHARGEMENT</t>
  </si>
  <si>
    <t>COUT DU TRANSPORT</t>
  </si>
  <si>
    <t>ACHAT</t>
  </si>
  <si>
    <t>PERTES</t>
  </si>
  <si>
    <t>DESIGNATION DES MATERIAUX</t>
  </si>
  <si>
    <t>1 – Prix unitaire des matériaux</t>
  </si>
  <si>
    <t>les prix unitaires d'achat hors transport et déchargement</t>
  </si>
  <si>
    <t>Colonne 7</t>
  </si>
  <si>
    <t>l'unité d'achat des matériaux et non l'unité de vente de l'ouvrage dans lequel entrent ces matériaux</t>
  </si>
  <si>
    <t>Colonne 4</t>
  </si>
  <si>
    <t>2 – Pertes et casses des matériaux</t>
  </si>
  <si>
    <t>La perte et la casse seront incluses dans les quantités des matériaux à utiliser lors du calcul du sous détail des prix unitaires</t>
  </si>
  <si>
    <t>Colonne 5 si nous l’exprimons en pourcentage (%)</t>
  </si>
  <si>
    <t>Colonne 6 si nous l’exprimons sous forme de coefficient</t>
  </si>
  <si>
    <t>3 – Le transport</t>
  </si>
  <si>
    <t>Coût du transport</t>
  </si>
  <si>
    <t>Quantité transportée</t>
  </si>
  <si>
    <t>Colonne 14</t>
  </si>
  <si>
    <t>Colonne 15</t>
  </si>
  <si>
    <t>Date:</t>
  </si>
  <si>
    <t>Terme kilométrique</t>
  </si>
  <si>
    <t>Main d'œuvre</t>
  </si>
  <si>
    <t>Coef.</t>
  </si>
  <si>
    <t>14 / 15</t>
  </si>
  <si>
    <t>17 x 18</t>
  </si>
  <si>
    <t>20 x 21</t>
  </si>
  <si>
    <t>23 / 24</t>
  </si>
  <si>
    <t xml:space="preserve"> </t>
  </si>
  <si>
    <t>Désignation des matériaux</t>
  </si>
  <si>
    <t>Fournsseurs Provenance</t>
  </si>
  <si>
    <t>COÛT MO :</t>
  </si>
  <si>
    <t>Quantités prévues</t>
  </si>
  <si>
    <t>Prix d'achat unitaire H.T.</t>
  </si>
  <si>
    <t>Nbre heures</t>
  </si>
  <si>
    <t>Prix de l'heure</t>
  </si>
  <si>
    <t>Nbre de km</t>
  </si>
  <si>
    <t xml:space="preserve">Prix du km </t>
  </si>
  <si>
    <t>Prix d'un voyage</t>
  </si>
  <si>
    <t>Quant.par voyage</t>
  </si>
  <si>
    <t>Prix unitaire du transport</t>
  </si>
  <si>
    <t>TOTAL M.O.</t>
  </si>
  <si>
    <t>Prix de location</t>
  </si>
  <si>
    <t>TOTAL frais de manut.</t>
  </si>
  <si>
    <t>Quantité manut.</t>
  </si>
  <si>
    <t>Prix unitaire de déchar.</t>
  </si>
  <si>
    <t>Prix unitaire de manutent</t>
  </si>
  <si>
    <t>TOTAL M.O</t>
  </si>
  <si>
    <t>Prix d'achat unitaire H.T</t>
  </si>
  <si>
    <t>Coef</t>
  </si>
  <si>
    <t>TOTAL frais de manutent</t>
  </si>
  <si>
    <t>Quantité manutent</t>
  </si>
  <si>
    <t>Colonne 8</t>
  </si>
  <si>
    <t>Colonne 9</t>
  </si>
  <si>
    <t>Colonne 10</t>
  </si>
  <si>
    <r>
      <t xml:space="preserve">durée d’utilisation du camion (durée du cycle) + temps chargement + temps déchargement + transport (aller-retour)
=
</t>
    </r>
    <r>
      <rPr>
        <sz val="11"/>
        <color rgb="FFFF0000"/>
        <rFont val="Calibri"/>
        <family val="2"/>
      </rPr>
      <t>Nombre d'heures</t>
    </r>
  </si>
  <si>
    <t>Total  =  Nombre d'heures x Prix de l'heure</t>
  </si>
  <si>
    <t>Nombre de km aller-retour</t>
  </si>
  <si>
    <t>Colonne 11</t>
  </si>
  <si>
    <t>Prix du kilomètre</t>
  </si>
  <si>
    <t xml:space="preserve">Colonne 12 </t>
  </si>
  <si>
    <t>Total  =  Nombre de km aller-retour  x  Prix du kilomètre</t>
  </si>
  <si>
    <t>Colonne 13</t>
  </si>
  <si>
    <t>Prix unitaire de transport</t>
  </si>
  <si>
    <t xml:space="preserve">Prix d'un voyage </t>
  </si>
  <si>
    <t xml:space="preserve">	Total terme horaire  + Total terme kilométrique			</t>
  </si>
  <si>
    <t>Quantité transporté</t>
  </si>
  <si>
    <t>En tonnes</t>
  </si>
  <si>
    <t>Prix d'un voyage  /  Quantité transporté</t>
  </si>
  <si>
    <t>Colonne 16</t>
  </si>
  <si>
    <t>Nombre d'heures</t>
  </si>
  <si>
    <t>Colonne 17</t>
  </si>
  <si>
    <t>Colonne 18</t>
  </si>
  <si>
    <t>Total M.O  =  Nombre d'heures  x  Prix de l'heure</t>
  </si>
  <si>
    <t>Colonne 19</t>
  </si>
  <si>
    <t xml:space="preserve">Nombre </t>
  </si>
  <si>
    <t>Palettes</t>
  </si>
  <si>
    <t>Colonne 20</t>
  </si>
  <si>
    <t>Colonne 21</t>
  </si>
  <si>
    <t>Total matériel  =  Nombre  x  Prix de location</t>
  </si>
  <si>
    <t>Colonne 22</t>
  </si>
  <si>
    <t>Prix unitaire de manutention</t>
  </si>
  <si>
    <t>Frais de manutention</t>
  </si>
  <si>
    <t xml:space="preserve">Total M.O  +  Total matériel </t>
  </si>
  <si>
    <t>Colonne 23</t>
  </si>
  <si>
    <t xml:space="preserve">Quantité </t>
  </si>
  <si>
    <t>Palettes  x  Unités par palette</t>
  </si>
  <si>
    <t>Colonne 24</t>
  </si>
  <si>
    <t xml:space="preserve">Frais de manutention  /  Quantité   =  €/U	</t>
  </si>
  <si>
    <t>Colonne 25</t>
  </si>
  <si>
    <t>PRIX UNITAIRE RENDU CHANTIER</t>
  </si>
  <si>
    <t>Calculer le coût du matériel affecté ou indivis</t>
  </si>
  <si>
    <t xml:space="preserve">	Calculer le coût des matériaux rendus chantier									</t>
  </si>
  <si>
    <t>Le matériel affecté</t>
  </si>
  <si>
    <t>matériel utilisé uniquement pour l’exécution d’une ou plusieurs natures d’ouvrages, ou amortissement totalement ou en partie sur un chantier donné.</t>
  </si>
  <si>
    <t>Le matériel indivis</t>
  </si>
  <si>
    <t>matériel affecté au chantier et utilisé pour différents ouvrages, différents chantiers.</t>
  </si>
  <si>
    <t xml:space="preserve">	Calculer le coût du matériel affecté ou indivis								</t>
  </si>
  <si>
    <t>Exécution</t>
  </si>
  <si>
    <t>Temps travaillé</t>
  </si>
  <si>
    <t>Exécution d’une fouille en excavation de 400 m3.</t>
  </si>
  <si>
    <t>Pour réaliser cette fouille, on a utilisé un chargeur sur pneus, qui a travaillé pendant 32 heures.</t>
  </si>
  <si>
    <t>Le rendement du chargeur a été de</t>
  </si>
  <si>
    <r>
      <t>400 m</t>
    </r>
    <r>
      <rPr>
        <sz val="11"/>
        <color theme="1"/>
        <rFont val="Aptos Narrow"/>
        <family val="2"/>
      </rPr>
      <t>³</t>
    </r>
  </si>
  <si>
    <t>32 h</t>
  </si>
  <si>
    <r>
      <t>12,500 m</t>
    </r>
    <r>
      <rPr>
        <sz val="11"/>
        <color theme="1"/>
        <rFont val="Aptos Narrow"/>
        <family val="2"/>
      </rPr>
      <t>³</t>
    </r>
    <r>
      <rPr>
        <sz val="11"/>
        <color theme="1"/>
        <rFont val="Calibri"/>
        <family val="2"/>
      </rPr>
      <t>/h</t>
    </r>
  </si>
  <si>
    <t>Quand on calculera le prix en déboursés secs du m3 de fouille en excavation,</t>
  </si>
  <si>
    <t>le temps d’engin passé par unité d’ouvrage sera de</t>
  </si>
  <si>
    <t>1 heure</t>
  </si>
  <si>
    <r>
      <t>0,08 h/m</t>
    </r>
    <r>
      <rPr>
        <sz val="11"/>
        <color theme="1"/>
        <rFont val="Aptos Narrow"/>
        <family val="2"/>
      </rPr>
      <t>³</t>
    </r>
  </si>
  <si>
    <t>Nous louons une bétonnière durant 2 mois à 2500 €/mois</t>
  </si>
  <si>
    <t>Le montant des consommables s’élève à environ 100€/mois</t>
  </si>
  <si>
    <t>Le montage, démontage et nettoyage de la centrale à béton s’élève à 1500 €</t>
  </si>
  <si>
    <t>Nous avons à fabriquer sur ce chantier 800 m³de béton et mortier</t>
  </si>
  <si>
    <t>Quand on calculera le prix en déboursés secs du m³ de béton ou mortier fabriqué on pourra affecté à chaque m³ le prix suivant :</t>
  </si>
  <si>
    <t xml:space="preserve">(2500€+100€) x 2mois </t>
  </si>
  <si>
    <t xml:space="preserve">montage, démontage </t>
  </si>
  <si>
    <t>/m³</t>
  </si>
  <si>
    <t>Divisé par</t>
  </si>
  <si>
    <t>m³</t>
  </si>
  <si>
    <t>Durée de la location</t>
  </si>
  <si>
    <t>Vous faites venir un tractopelle loué 40€/heure.</t>
  </si>
  <si>
    <t>Il lui faut 1 heure pour transférer du chantier précédent.</t>
  </si>
  <si>
    <t>Il lui faut 5 heures pour exécuter les travaux et être prêt à partir sur le chantier suivant.</t>
  </si>
  <si>
    <t>OU</t>
  </si>
  <si>
    <t>Il suffira de multiplier ce temps par le coût horaire de l’engin pour obtenir le prix en déboursés secs du m3 de fouille en excavation.</t>
  </si>
  <si>
    <r>
      <t>Vous avez un terrassement en rigole à faire de 15.800m</t>
    </r>
    <r>
      <rPr>
        <sz val="11"/>
        <color theme="1"/>
        <rFont val="Aptos Narrow"/>
        <family val="2"/>
      </rPr>
      <t>³</t>
    </r>
  </si>
  <si>
    <t>(5 heure + 1 heure) x 40</t>
  </si>
  <si>
    <t>15,800m³</t>
  </si>
  <si>
    <r>
      <rPr>
        <sz val="11"/>
        <color theme="1"/>
        <rFont val="Aptos Narrow"/>
        <family val="2"/>
      </rPr>
      <t>€</t>
    </r>
    <r>
      <rPr>
        <sz val="11"/>
        <color theme="1"/>
        <rFont val="Calibri"/>
        <family val="2"/>
      </rPr>
      <t>/m³</t>
    </r>
  </si>
  <si>
    <t>5 heure + 1 heure</t>
  </si>
  <si>
    <t>Quand on calculera le prix en déboursés secs du m3 de fouille en rigole, on pourra dire que le temps d’engin passé par unité d’ouvrage sera de :</t>
  </si>
  <si>
    <t>h/m³</t>
  </si>
  <si>
    <t xml:space="preserve">h/m³                               x                  </t>
  </si>
  <si>
    <t>Matériel livré par transporteur sur le chantier</t>
  </si>
  <si>
    <t>Vous avez un mur en béton banché à exécuter. Le métré fait ressortir une surface de banchage de 183.50 m².</t>
  </si>
  <si>
    <t>Vous louez une surface de banche de 200m² à un prix du m² de 1.00€/jour.</t>
  </si>
  <si>
    <t>Le prix du voyage est de 100 €.</t>
  </si>
  <si>
    <t>Le planning prévoit qu’il faut 3 jours pour le coffrage et coulage et 1 jour entier pour le décoffrage et nettoyage des panneaux.</t>
  </si>
  <si>
    <t>Le démarrage du coffrage est prévu un mercredi.</t>
  </si>
  <si>
    <t>Nous ferons donc livrer le matériel le mardi pour le rendre le mardi suivant.</t>
  </si>
  <si>
    <t>La durée de la location est donc de 8 jours.</t>
  </si>
  <si>
    <t>Il faut prendre en compte la durée de la location en jours calendaires multipliée par la quantité louée</t>
  </si>
  <si>
    <t>et multipliée par le prix de la location. A cela il faut rajouter le prix du transport aller et retour pour</t>
  </si>
  <si>
    <t>obtenir le montant total de la location. Divisé par la quantité exécutée, on obtient un prix en €uros par unité d’ouvrage.</t>
  </si>
  <si>
    <t xml:space="preserve">Le prix de la location est donc de : </t>
  </si>
  <si>
    <t>8 x 200m² x 1.00€ = 1600.00€</t>
  </si>
  <si>
    <t xml:space="preserve">Le prix du transport aller retour est de : </t>
  </si>
  <si>
    <t>2 x 100€ = 200.00€</t>
  </si>
  <si>
    <t xml:space="preserve">Le prix total de la location est de : </t>
  </si>
  <si>
    <t>1800.00€</t>
  </si>
  <si>
    <t xml:space="preserve">Le prix en €uros par unité d’ouvrage sera : </t>
  </si>
  <si>
    <t>183,50 m²</t>
  </si>
  <si>
    <r>
      <rPr>
        <sz val="11"/>
        <color theme="1"/>
        <rFont val="Aptos Narrow"/>
        <family val="2"/>
      </rPr>
      <t>€</t>
    </r>
    <r>
      <rPr>
        <sz val="11"/>
        <color theme="1"/>
        <rFont val="Calibri"/>
        <family val="2"/>
      </rPr>
      <t>/m²</t>
    </r>
  </si>
  <si>
    <t>ans</t>
  </si>
  <si>
    <t>Coffrages</t>
  </si>
  <si>
    <t xml:space="preserve">Prix des coffrages </t>
  </si>
  <si>
    <t xml:space="preserve">Chantier </t>
  </si>
  <si>
    <t xml:space="preserve">Date </t>
  </si>
  <si>
    <t>Désignation de l'ouvrage      Banches</t>
  </si>
  <si>
    <t xml:space="preserve">Nombre de pièces à fabriquer </t>
  </si>
  <si>
    <t xml:space="preserve">Nombre de m² à coffrer </t>
  </si>
  <si>
    <t>Libellé</t>
  </si>
  <si>
    <t>Quantité</t>
  </si>
  <si>
    <t>Prix Unitaire</t>
  </si>
  <si>
    <t>Déboursé</t>
  </si>
  <si>
    <t>M.O</t>
  </si>
  <si>
    <t>Machine</t>
  </si>
  <si>
    <t xml:space="preserve">1-Matériaux </t>
  </si>
  <si>
    <t xml:space="preserve">Bois </t>
  </si>
  <si>
    <t>Contreplaqué</t>
  </si>
  <si>
    <t>banche</t>
  </si>
  <si>
    <t>Clous</t>
  </si>
  <si>
    <t xml:space="preserve">Divers </t>
  </si>
  <si>
    <t xml:space="preserve">2-Main d'œuvre </t>
  </si>
  <si>
    <t xml:space="preserve">3-Machine outil </t>
  </si>
  <si>
    <t>Résultat unitaires</t>
  </si>
  <si>
    <t>Prix de fabrication de moule</t>
  </si>
  <si>
    <t>Prix de fabrication de l'ensemble de moule</t>
  </si>
  <si>
    <t xml:space="preserve">Amortissement du  moule par m² coffré </t>
  </si>
  <si>
    <t xml:space="preserve">Mise en œuvre </t>
  </si>
  <si>
    <t>huile</t>
  </si>
  <si>
    <t>h</t>
  </si>
  <si>
    <t>3- Matériel</t>
  </si>
  <si>
    <t xml:space="preserve">Resultat unitaire </t>
  </si>
  <si>
    <t>Prix de mise en œuvre du moule</t>
  </si>
  <si>
    <t>Debourse sec unitaire au m² de coffrage</t>
  </si>
  <si>
    <t>Banches métalliques ou bois</t>
  </si>
  <si>
    <t>En location</t>
  </si>
  <si>
    <t>Dans ce cas, il suffit de diviser le montant de la location (nombre de jours x prix de location journalière) par le nombre de m² à réaliser sur le chantier.</t>
  </si>
  <si>
    <t>En propriété</t>
  </si>
  <si>
    <t>Prenons un exemple chiffré :</t>
  </si>
  <si>
    <t>Soit à calculer le prix d'un m² de coffrage réalisé avec banche métallique connaissant :</t>
  </si>
  <si>
    <t>Avant de remplir l’imprimé, il faut que je calcule le prix de location d’un mètre de banche soit : 24,00 €/mois x 2,5 mois = 60.00 €/ml</t>
  </si>
  <si>
    <t>Nous pouvons maintenant remplir notre tableau tel que présenté page suivante.</t>
  </si>
  <si>
    <t>Dans ce cas, l'entreprise calculera un montant d'amortissement interne journalier en fonction de la durée d'amortissement choisie (en général 5 ans). Cet amortissement tiendra compte des prix d'achat,</t>
  </si>
  <si>
    <t>d'entretien, de la valeur résiduelle et du taux d'inflation prévisible. Ceci est un travail de comptable qui vous est fourni en entreprise.</t>
  </si>
  <si>
    <t>CHM. : 16.80 €/heure</t>
  </si>
  <si>
    <t>Huile de décoffrage : 2,40 €/litre</t>
  </si>
  <si>
    <t>Location des banches (1 face): 5 ml à 24,00 €/mois</t>
  </si>
  <si>
    <t>durée de location : 2,5 mois</t>
  </si>
  <si>
    <t>Surface totale à coffrer : 825,00 m²</t>
  </si>
  <si>
    <t>Mise en oeuvre : 0,40 h/m²</t>
  </si>
  <si>
    <t>Huile de décoffrage : 0,07 litres/m²</t>
  </si>
  <si>
    <t>Amortissements</t>
  </si>
  <si>
    <t>Amortir un matériel, c'est reconstituer progressivement le capital employé à l'acquisition de ce matériel de façon à avoir la somme nécessaire à le remplacer quand celui-ci est usagé.</t>
  </si>
  <si>
    <t>Durée de l'amortissement linéaire</t>
  </si>
  <si>
    <t>Elle varie suivant le matériel:</t>
  </si>
  <si>
    <t>Il y a une autre solution, c'est l'amortissement dégressif.</t>
  </si>
  <si>
    <t>Ce coefficient est égal à:</t>
  </si>
  <si>
    <t>1,5 si la durée de l'amortissement est de 3 à 4 ans.</t>
  </si>
  <si>
    <t>2 si la durée de l'amortissement est de 5 à 6 ans.</t>
  </si>
  <si>
    <t>2,5 lorsque cette durée est supérieure à 6 ans.</t>
  </si>
  <si>
    <t>Bétonnière, grue, centrale à béton : 6 ans</t>
  </si>
  <si>
    <t>Compresseur : 6 ans</t>
  </si>
  <si>
    <t>Etais, poutre extensible : 5 ans</t>
  </si>
  <si>
    <t>Echafaudages, tréteaux : 5 ans</t>
  </si>
  <si>
    <t>Pelle mécanique, dumpers : 4 ans</t>
  </si>
  <si>
    <t>Benne à béton : 4 ans</t>
  </si>
  <si>
    <t>Matériel démolition, terrassement : 4 ans</t>
  </si>
  <si>
    <t>Lève-palettes : 4 ans</t>
  </si>
  <si>
    <t>Camions, camionnettes : 4 ans</t>
  </si>
  <si>
    <t>Pompes hydrauliques : 3 ans</t>
  </si>
  <si>
    <t>Vibrateurs : 2 ans</t>
  </si>
  <si>
    <t>multiplié par un coefficient qui varie selon la durée de l'amortissement.</t>
  </si>
  <si>
    <t xml:space="preserve">Le système de l'amortissement dégressif est caractérisé par l'application d'un "taux constant" égal au taux de l'amortissement linéaire normalement applicable, </t>
  </si>
  <si>
    <t>Durée</t>
  </si>
  <si>
    <t>Taux d’amortissement</t>
  </si>
  <si>
    <t>d’utilisation</t>
  </si>
  <si>
    <t>linéaire</t>
  </si>
  <si>
    <t>applicable</t>
  </si>
  <si>
    <t>dégressif</t>
  </si>
  <si>
    <t>Années</t>
  </si>
  <si>
    <t>Le tableau ci-après fait ressortir:</t>
  </si>
  <si>
    <t>le taux de l'amortissement linéaire</t>
  </si>
  <si>
    <t>le taux de l'amortissement dégressif</t>
  </si>
  <si>
    <t>Quel est l'amortissement annuel</t>
  </si>
  <si>
    <t>Il est fonction de la durée de l'amortissement</t>
  </si>
  <si>
    <t>Une fois la durée fixée, on divise 100 par le nombre d'années pour obtenir le taux applicable par an en pourcentage.</t>
  </si>
  <si>
    <t xml:space="preserve">Ainsi, si la durée est de 5 ans, par an, dans le cas d'un amortissement linéaire (montants constants), nous devrons amortir: </t>
  </si>
  <si>
    <t>20% de la valeur à amortir.</t>
  </si>
  <si>
    <t>Il est fonction des emprunts</t>
  </si>
  <si>
    <t>Si j'ai du faire appel à un emprunt pour acheter ce matériel, je dois inclure le montant des intérêts dans l'amortissement.</t>
  </si>
  <si>
    <t>Le taux moyen des intérêts est calculé suivant la formule suivante:</t>
  </si>
  <si>
    <t>Pour un capital de 100 €uros, avec un intérêt de 10 % sur 5 ans, quel serait le taux moyen des intérêts ?</t>
  </si>
  <si>
    <t>Le taux d'amortissement deviendra dans l'exemple de l'amortissement linéaire:</t>
  </si>
  <si>
    <t>20 %+ 6 %=26 %</t>
  </si>
  <si>
    <t>taux moyen</t>
  </si>
  <si>
    <t>[1 + 1/n]</t>
  </si>
  <si>
    <t>[1 + 1/5]</t>
  </si>
  <si>
    <t>Il est fonction de l'augmentation du coût de la vie.</t>
  </si>
  <si>
    <t>Au bout de la durée d'amortissement, je dois pouvoir acheter le même matériel. Or, pendant ce temps, ce même matériel aura subi des augmentations en valeur d'achat, correspondant à l'augmentation du coût de la vie.</t>
  </si>
  <si>
    <t>Si nous partons sur l'hypothèse d'une augmentation moyenne du coût de la vie de 4%, le taux d'amortissement deviendra:</t>
  </si>
  <si>
    <t>26 % + 4 % = 30 %</t>
  </si>
  <si>
    <t>Il est fonction de la valeur résiduelle du matériel.</t>
  </si>
  <si>
    <t>A la fin de l'amortissement, ce matériel peut être revendu d'occasion ou utilisé plus longtemps. Cette valeur est appelé la "valeur résiduelle" et vient en déduction de la valeur à amortir.</t>
  </si>
  <si>
    <t>En matériel, cette "valeur résiduelle" est souvent prise à 10 % de la valeur d'achat.</t>
  </si>
  <si>
    <t>La valeur résiduelle ramenée à l'année sera égale à :</t>
  </si>
  <si>
    <t>valeur résiduelle</t>
  </si>
  <si>
    <t>nombre d'année</t>
  </si>
  <si>
    <t>Dans notre exemple, le taux d'amortissement deviendra:</t>
  </si>
  <si>
    <t>30 % - 2 % = 28 %</t>
  </si>
  <si>
    <t>En résumé</t>
  </si>
  <si>
    <t xml:space="preserve">Dans le cas d'un amortissement linéaire vous pouvez appliquer la formule suivante: </t>
  </si>
  <si>
    <r>
      <rPr>
        <b/>
        <sz val="12"/>
        <color theme="1"/>
        <rFont val="Calibri"/>
        <family val="2"/>
      </rPr>
      <t>R</t>
    </r>
    <r>
      <rPr>
        <sz val="11"/>
        <color theme="1"/>
        <rFont val="Calibri"/>
        <family val="2"/>
      </rPr>
      <t xml:space="preserve"> = Remboursement annuel ou amortissement annuel</t>
    </r>
  </si>
  <si>
    <r>
      <rPr>
        <b/>
        <sz val="12"/>
        <color theme="1"/>
        <rFont val="Calibri"/>
        <family val="2"/>
      </rPr>
      <t>C</t>
    </r>
    <r>
      <rPr>
        <sz val="11"/>
        <color theme="1"/>
        <rFont val="Calibri"/>
        <family val="2"/>
      </rPr>
      <t xml:space="preserve"> = Capital à amortir</t>
    </r>
  </si>
  <si>
    <r>
      <rPr>
        <b/>
        <sz val="12"/>
        <color theme="1"/>
        <rFont val="Calibri"/>
        <family val="2"/>
      </rPr>
      <t xml:space="preserve">T </t>
    </r>
    <r>
      <rPr>
        <sz val="11"/>
        <color theme="1"/>
        <rFont val="Calibri"/>
        <family val="2"/>
      </rPr>
      <t>= Taux d'intérêt des emprunts</t>
    </r>
  </si>
  <si>
    <r>
      <rPr>
        <b/>
        <sz val="12"/>
        <color theme="1"/>
        <rFont val="Calibri"/>
        <family val="2"/>
      </rPr>
      <t xml:space="preserve">a </t>
    </r>
    <r>
      <rPr>
        <sz val="11"/>
        <color theme="1"/>
        <rFont val="Calibri"/>
        <family val="2"/>
      </rPr>
      <t>= Taux d'augmentation annuelle du coût de la vie</t>
    </r>
  </si>
  <si>
    <r>
      <rPr>
        <b/>
        <sz val="12"/>
        <color theme="1"/>
        <rFont val="Calibri"/>
        <family val="2"/>
      </rPr>
      <t>n</t>
    </r>
    <r>
      <rPr>
        <sz val="11"/>
        <color theme="1"/>
        <rFont val="Calibri"/>
        <family val="2"/>
      </rPr>
      <t xml:space="preserve"> = Nombre d'années.</t>
    </r>
  </si>
  <si>
    <r>
      <rPr>
        <b/>
        <sz val="12"/>
        <color theme="1"/>
        <rFont val="Calibri"/>
        <family val="2"/>
      </rPr>
      <t>V</t>
    </r>
    <r>
      <rPr>
        <sz val="11"/>
        <color theme="1"/>
        <rFont val="Calibri"/>
        <family val="2"/>
      </rPr>
      <t xml:space="preserve"> = taux de la valeur résiduelle</t>
    </r>
  </si>
  <si>
    <t>Exemple</t>
  </si>
  <si>
    <t>Calculer le prix d'amortissement d'un engin de terrassement à l'heure:</t>
  </si>
  <si>
    <t>Valeur d'achat: 75000 €</t>
  </si>
  <si>
    <t>Durée d'amortissement linéaire: 7 ans</t>
  </si>
  <si>
    <t>Taux d'intérêt des emprunts: 10 %</t>
  </si>
  <si>
    <t>Augmentation du coût de la vie : 4 % par an</t>
  </si>
  <si>
    <t>Valeur résiduelle: 10 % de la valeur d'achat</t>
  </si>
  <si>
    <t>Utilisation: 10 mois x 151 heures</t>
  </si>
  <si>
    <t>Remplaçons chaque variable par sa valeur</t>
  </si>
  <si>
    <t>R = 75000/100 x [ 100/7 + 10/2 ( 1 + 1/7) + 4 - 10/7]</t>
  </si>
  <si>
    <t>R = C/100 x [ 100/n + T/2 ( 1 + 1/n) + a - V/n]</t>
  </si>
  <si>
    <t>Ramenons à des dénominateurs communs</t>
  </si>
  <si>
    <t>R = 75000/100 x [ 100/7 + 5/1 ( 8/7) + 28/7 - 10/7]</t>
  </si>
  <si>
    <t>R = 75000/100 x (158/7) = 16928,57</t>
  </si>
  <si>
    <t>L’amortissement à l’heure sera de :</t>
  </si>
  <si>
    <t>10 x 151</t>
  </si>
  <si>
    <r>
      <rPr>
        <sz val="11"/>
        <color theme="1"/>
        <rFont val="Aptos Narrow"/>
        <family val="2"/>
      </rPr>
      <t>€</t>
    </r>
    <r>
      <rPr>
        <sz val="11"/>
        <color theme="1"/>
        <rFont val="Calibri"/>
        <family val="2"/>
      </rPr>
      <t>/heure</t>
    </r>
  </si>
  <si>
    <t>Prix de revient du matériel</t>
  </si>
  <si>
    <t>Calcul du prix de revient d’un matériel</t>
  </si>
  <si>
    <t>Coût d'amortissement</t>
  </si>
  <si>
    <t>Il sera déterminé comme indiqué au chapitre précédent.</t>
  </si>
  <si>
    <t>Coût d'entretien</t>
  </si>
  <si>
    <t>Il sera pris entre 10 et 15% par an de la valeur d'achat.</t>
  </si>
  <si>
    <t>A noter que ce taux va croissant au fur et à mesure du vieillissement.</t>
  </si>
  <si>
    <t>Cas du matériel roulant</t>
  </si>
  <si>
    <t>Exemple :</t>
  </si>
  <si>
    <t>Pour calculer le coût de revient d'un camion en entreprise de bâtiment, nous devons faire intervenir des éléments liés:</t>
  </si>
  <si>
    <t>A l'heure d’utilisation du camion</t>
  </si>
  <si>
    <t>A) L'amortissement</t>
  </si>
  <si>
    <t>IL sera calculé suivant montant, durée choisie, inflation, coût de l'argent.</t>
  </si>
  <si>
    <t>Valeur Achat: 160000 €</t>
  </si>
  <si>
    <t>Durée amortissement: 5 ans.</t>
  </si>
  <si>
    <t>Inflation: 4 % par an.</t>
  </si>
  <si>
    <t>Coût de l'argent: 10 %.</t>
  </si>
  <si>
    <t>Valeur résiduelle: 10 %</t>
  </si>
  <si>
    <t>Durée annuelle d'utilisation: 1400 h/an.</t>
  </si>
  <si>
    <t>Détail du calcul</t>
  </si>
  <si>
    <t>à l'heure d’utilisation du camion : amortissement, chauffeur, assurances, taxes,</t>
  </si>
  <si>
    <t>au kilométrage parcouru : entretien, carburant, huile, pneus, etc...</t>
  </si>
  <si>
    <t>Appliquons la formule :</t>
  </si>
  <si>
    <t>R = 160000/100 x [ 100/5 + 10/2 ( 1 + 1/5) + 4 - 10/5]</t>
  </si>
  <si>
    <t>R = 160000/100 x [ 100/5 + 5/1 ( 6/5) + 20/5 - 10/5]</t>
  </si>
  <si>
    <t>R = 160000/100 x (140/5) = 44800</t>
  </si>
  <si>
    <t>Le montant de l'amortissement par heure sera:</t>
  </si>
  <si>
    <t>10 x 140</t>
  </si>
  <si>
    <t>B) Le Chauffeur</t>
  </si>
  <si>
    <t>II s'agit du salaire annuel du chauffeur compris les primes diverses, majoré des charges sociales.</t>
  </si>
  <si>
    <t>Ce montant sera divisé par le nombre d’heure d’utilisation du camion soit dans notre exemple 1400 heures. Les heures du chauffeur au delà des 1400 heures étant des heures attribuées pour l’entretien périodique du camion.</t>
  </si>
  <si>
    <t>Salaire annuel du chauffeur compris primes et charges : 33600 €</t>
  </si>
  <si>
    <t>33600.00 € : 1400 heures = 24.00 €/heure</t>
  </si>
  <si>
    <t>C) Les Assurances</t>
  </si>
  <si>
    <t>II suffit de diviser le montant par le nombre annuel d'heures de camion.</t>
  </si>
  <si>
    <t>Si montant assurances: 4200.00€ :</t>
  </si>
  <si>
    <t>4200.00 € :1400 heures = 3.00 €/heure</t>
  </si>
  <si>
    <t>D) Les Taxes</t>
  </si>
  <si>
    <t>On appliquera la même méthode que ci-dessus.</t>
  </si>
  <si>
    <t>si taxes = 1540.00 €</t>
  </si>
  <si>
    <t>1540.00 € : 1400 heures = 1.10 €/heure</t>
  </si>
  <si>
    <t>E) L'entretien annuel</t>
  </si>
  <si>
    <t>Si on considère que l’entretien annuel est de l’ordre de 8 % de la valeur d’achat, on obtient de la même manière :</t>
  </si>
  <si>
    <t>160000 x 8%</t>
  </si>
  <si>
    <t>1400 heures</t>
  </si>
  <si>
    <t>Le prix de l'heure de camion sera donc la somme des coûts d'amortissement, du chauffeur, des assurances, des taxes et entretien annuel,</t>
  </si>
  <si>
    <r>
      <t>32.00 € + 24.00 € + 3.00 € + 1.10 € + 9.14 € =</t>
    </r>
    <r>
      <rPr>
        <b/>
        <sz val="12"/>
        <color theme="1"/>
        <rFont val="Calibri"/>
        <family val="2"/>
      </rPr>
      <t xml:space="preserve"> 69.24 €/heure</t>
    </r>
  </si>
  <si>
    <t>Au kilométrage parcouru</t>
  </si>
  <si>
    <t>F) Le Carburant</t>
  </si>
  <si>
    <t>On prendra la consommation moyenne aux 100 kms multipliée par le prix du gazole et divisée par 100.</t>
  </si>
  <si>
    <t>G) Huile</t>
  </si>
  <si>
    <t>On prendra la contenance du carter multipliée par le prix du litre et divisée par le nombre de km entre chaque vidange.</t>
  </si>
  <si>
    <t>H) Pneus</t>
  </si>
  <si>
    <t>On prendra la valeur d'un pneu multipliée par le nombre de roues divisée par le nombre de km.</t>
  </si>
  <si>
    <t>Exemple: 10 roues.</t>
  </si>
  <si>
    <t>Le prix de revient kilométrique sera donc la somme des coûts de carburant, huile, pneus,</t>
  </si>
  <si>
    <t>0.21 €/km + 0.02 €/km + 0.16 €/km = 0.39 €/km</t>
  </si>
  <si>
    <t>Exemple: 25l/100 à 0.85€ le litre.</t>
  </si>
  <si>
    <t>25 l x 0,85</t>
  </si>
  <si>
    <r>
      <rPr>
        <sz val="11"/>
        <color theme="1"/>
        <rFont val="Aptos Narrow"/>
        <family val="2"/>
      </rPr>
      <t>€</t>
    </r>
    <r>
      <rPr>
        <sz val="11"/>
        <color theme="1"/>
        <rFont val="Calibri"/>
        <family val="2"/>
      </rPr>
      <t>/km</t>
    </r>
  </si>
  <si>
    <t>Exemple: 18l d'huile à 5.50 € tous les 5000 kms.</t>
  </si>
  <si>
    <t>18 l x 5,50</t>
  </si>
  <si>
    <t>prix d'un pneu: 800,00 €</t>
  </si>
  <si>
    <t>nombre de km : 50000.</t>
  </si>
  <si>
    <t>10 x 800</t>
  </si>
  <si>
    <t>Chantier :</t>
  </si>
  <si>
    <t xml:space="preserve">Désignation de l'ouvrage : </t>
  </si>
  <si>
    <t>Nombre de pièces à fabriquer :</t>
  </si>
  <si>
    <t>Nombre de m² à coffrer :</t>
  </si>
  <si>
    <t>PRIX DE MISE EN OEUVRE DU MOULE</t>
  </si>
  <si>
    <t>DEBOURSE SEC UNITAIRE AU M² DE COFFRAGE</t>
  </si>
  <si>
    <t>PRIX DE MISE EN OEUVRE AU M² COFFRE</t>
  </si>
  <si>
    <t>RESULTATS UNITAIRES</t>
  </si>
  <si>
    <t>3 - MATERIEL</t>
  </si>
  <si>
    <t>2 - MAIN D'OEUVRE</t>
  </si>
  <si>
    <t>1 - MATERIAUX</t>
  </si>
  <si>
    <t>PRIX DE FABRICATION DE L'ENSEMBLE DES MOULE</t>
  </si>
  <si>
    <t>AMORTISSEMENT DU MOULE PAR M² COFFRÉ</t>
  </si>
  <si>
    <t>Fabrication du moule</t>
  </si>
  <si>
    <t>Calculer les sous-détails de prix et le total des déboursés secs</t>
  </si>
  <si>
    <t>1 - Définition</t>
  </si>
  <si>
    <r>
      <rPr>
        <b/>
        <sz val="11"/>
        <color theme="1"/>
        <rFont val="Calibri"/>
        <family val="2"/>
      </rPr>
      <t>Un sous détail de déboursé sec unitaire</t>
    </r>
    <r>
      <rPr>
        <sz val="11"/>
        <color theme="1"/>
        <rFont val="Calibri"/>
        <family val="2"/>
      </rPr>
      <t xml:space="preserve"> est le calcul détaillé d'un ouvrage élémentaire pour une unité : m², m³, ml, etc. ; où apparaît tous les éléments qui le composent :</t>
    </r>
  </si>
  <si>
    <t>Matériaux ou Fournitures</t>
  </si>
  <si>
    <t>Dans ce calcul interviennent les notions :</t>
  </si>
  <si>
    <t>De QUANTITES nécessaires à l'ouvrage</t>
  </si>
  <si>
    <t>Pour les matériaux</t>
  </si>
  <si>
    <t>et de PRIX (prix rendus chantier)</t>
  </si>
  <si>
    <t>De RENDEMENT (pour exécution de l'ouvrage)</t>
  </si>
  <si>
    <t>Pour le matériel</t>
  </si>
  <si>
    <t>et de PRIX (location, amortissement)</t>
  </si>
  <si>
    <t>De TEMPS d'exécution (quantité d'heures)</t>
  </si>
  <si>
    <t>Pour la main d'œuvre</t>
  </si>
  <si>
    <t xml:space="preserve">et de PRIX (coût horaire moyen) </t>
  </si>
  <si>
    <t>Attention ! A chaque ouvrage correspond une fiche de calcul "sous détail de prix unitaire"</t>
  </si>
  <si>
    <t>2 – Sous-détail de prix intermédiaires</t>
  </si>
  <si>
    <t xml:space="preserve">Le sous-détail comprendra </t>
  </si>
  <si>
    <t>quantité x coef. de perte de fabrication x prix unit. rendu chantier</t>
  </si>
  <si>
    <t>temps unitaire x C.H.M.</t>
  </si>
  <si>
    <t>valeur de l'amortissement</t>
  </si>
  <si>
    <t>La fourniture des différents matériaux :</t>
  </si>
  <si>
    <t>Les temps de fabrication :</t>
  </si>
  <si>
    <t>Les amortissements :</t>
  </si>
  <si>
    <t xml:space="preserve">Les temps unitaires retenus sont en moyenne de </t>
  </si>
  <si>
    <t>Ciment et chaux :</t>
  </si>
  <si>
    <t>Agrégats :</t>
  </si>
  <si>
    <t>Aciers :</t>
  </si>
  <si>
    <t>0,06 h/kg</t>
  </si>
  <si>
    <t>Fabrication des bétons :</t>
  </si>
  <si>
    <t>Fabrication des mortiers :</t>
  </si>
  <si>
    <t>Façonnage des aciers :</t>
  </si>
  <si>
    <t xml:space="preserve">Les coefficients de perte de fabrication sur fournitures sont en moyenne de </t>
  </si>
  <si>
    <t xml:space="preserve">Pour les valeurs d'amortissement vous prendrez </t>
  </si>
  <si>
    <t>13,00 €/T</t>
  </si>
  <si>
    <t>Centrale à béton :</t>
  </si>
  <si>
    <t>Atelier de ferraillage :</t>
  </si>
  <si>
    <t xml:space="preserve">1000 kg d’acier x 0.06 h/kg donne </t>
  </si>
  <si>
    <t>h/T</t>
  </si>
  <si>
    <t>h/kg</t>
  </si>
  <si>
    <r>
      <t>h/m</t>
    </r>
    <r>
      <rPr>
        <sz val="11"/>
        <color theme="1"/>
        <rFont val="Aptos Narrow"/>
        <family val="2"/>
      </rPr>
      <t>³</t>
    </r>
  </si>
  <si>
    <t>0,90 h/m³</t>
  </si>
  <si>
    <t>1,00 h/m³</t>
  </si>
  <si>
    <t>12,00 €/m³</t>
  </si>
  <si>
    <t>1 tonne d’acier avec 6% de perte donne</t>
  </si>
  <si>
    <t xml:space="preserve">1 tonne de sable avec 5% de perte donne </t>
  </si>
  <si>
    <t xml:space="preserve">1 tonne de ciment avec 3% de perte donne </t>
  </si>
  <si>
    <t>€/m³</t>
  </si>
  <si>
    <t>€/T</t>
  </si>
  <si>
    <t>Exercice de démonstration</t>
  </si>
  <si>
    <t>Calculer en déboursé sec le prix unitaire de vente de 1 ml de fondation pour mur de clôture connaissant :</t>
  </si>
  <si>
    <t>section de fouille : 0.40 largeur x 0.50 profondeur</t>
  </si>
  <si>
    <t>section de la fondation : 0.40 largeur x 0.40 épaisseur</t>
  </si>
  <si>
    <t>42.00€/heure</t>
  </si>
  <si>
    <t>0.15h/ml</t>
  </si>
  <si>
    <t>16.30€/heure</t>
  </si>
  <si>
    <t>Prix du béton prêt à l’emploi rendu chantier :</t>
  </si>
  <si>
    <t>Prix du tracto pelle à l’heure :</t>
  </si>
  <si>
    <t xml:space="preserve">Rendement du tracto pelle </t>
  </si>
  <si>
    <t>Main d’œuvre pour suivi derrière le tracto pelle :</t>
  </si>
  <si>
    <t>Main d’œuvre pour coulage des fondations :</t>
  </si>
  <si>
    <t xml:space="preserve">C.H.M. : </t>
  </si>
  <si>
    <t xml:space="preserve">Perte sur matériaux : </t>
  </si>
  <si>
    <t>72.50€/m³</t>
  </si>
  <si>
    <t>5 m³ à l’heure</t>
  </si>
  <si>
    <t>0.15h/m³</t>
  </si>
  <si>
    <t>0.168</t>
  </si>
  <si>
    <t>0.04</t>
  </si>
  <si>
    <t>0.03</t>
  </si>
  <si>
    <t xml:space="preserve">quantité de béton pour 1 ml </t>
  </si>
  <si>
    <t xml:space="preserve">Durée location tracto pelle pour 1 ml </t>
  </si>
  <si>
    <t xml:space="preserve">Main d’œuvre derrière le tracto pelle pour 1 ml </t>
  </si>
  <si>
    <t>0.40 x 0.40 x (perte 1 x 5%)</t>
  </si>
  <si>
    <t>(0.40 x 0.50) / 5.00 m³</t>
  </si>
  <si>
    <t>0.40 x 0.50 x 0.15 h/ml</t>
  </si>
  <si>
    <t>ACIERS :</t>
  </si>
  <si>
    <t>Fournitures</t>
  </si>
  <si>
    <t>Prix unitaire</t>
  </si>
  <si>
    <t>Total</t>
  </si>
  <si>
    <t>Total Gén.</t>
  </si>
  <si>
    <t>Ligatures :</t>
  </si>
  <si>
    <t>Total des fournitures</t>
  </si>
  <si>
    <t>Amortissement</t>
  </si>
  <si>
    <t>Total M.O + amortissement</t>
  </si>
  <si>
    <t>PRIX UNITAIRE à la Tonne</t>
  </si>
  <si>
    <t>PRIX UNITAIRE au KG</t>
  </si>
  <si>
    <t>Perte %</t>
  </si>
  <si>
    <t xml:space="preserve">Chantier : </t>
  </si>
  <si>
    <t>Chaux</t>
  </si>
  <si>
    <t>Ciment</t>
  </si>
  <si>
    <r>
      <t>PRIX UNITAIRE au m</t>
    </r>
    <r>
      <rPr>
        <b/>
        <vertAlign val="superscript"/>
        <sz val="12"/>
        <rFont val="Calibri"/>
        <family val="2"/>
      </rPr>
      <t>3</t>
    </r>
  </si>
  <si>
    <t>Ciment CPJ</t>
  </si>
  <si>
    <t>Béton n° 1 dosé à :250 kg/m3</t>
  </si>
  <si>
    <t>Béton n° 2 dosé à :300 kg/m3</t>
  </si>
  <si>
    <t>Béton n° 3 dosé à :350 kg/m3</t>
  </si>
  <si>
    <t>Sable 0/6</t>
  </si>
  <si>
    <t>Gravier 5/15</t>
  </si>
  <si>
    <t>cailloux</t>
  </si>
  <si>
    <t>Coef. de vente (B) =</t>
  </si>
  <si>
    <t>N°</t>
  </si>
  <si>
    <t>temps</t>
  </si>
  <si>
    <t>Dépense</t>
  </si>
  <si>
    <t>PRIX DE VENTE</t>
  </si>
  <si>
    <t>unit.</t>
  </si>
  <si>
    <t>M.O. unit.</t>
  </si>
  <si>
    <t>Sec unit.</t>
  </si>
  <si>
    <t>sec Total</t>
  </si>
  <si>
    <t>des heures</t>
  </si>
  <si>
    <t>unitaire</t>
  </si>
  <si>
    <t>TOTAL =</t>
  </si>
  <si>
    <t>Prix de revient entreprise</t>
  </si>
  <si>
    <t>Coefficcient de vente= P.V./D.S.</t>
  </si>
  <si>
    <t>02</t>
  </si>
  <si>
    <t>03</t>
  </si>
  <si>
    <t>04</t>
  </si>
  <si>
    <t>05</t>
  </si>
  <si>
    <t>N° Code</t>
  </si>
  <si>
    <t>temps unit</t>
  </si>
  <si>
    <t>Dépense M.O. unit</t>
  </si>
  <si>
    <t>Dépense Fournitures</t>
  </si>
  <si>
    <t>Dépense Matériel</t>
  </si>
  <si>
    <t>Déboursé Sec unit</t>
  </si>
  <si>
    <t xml:space="preserve">Déboursé sec Total </t>
  </si>
  <si>
    <t>Total Fournitures</t>
  </si>
  <si>
    <t>Total Matériel</t>
  </si>
  <si>
    <t>Total des heures</t>
  </si>
  <si>
    <r>
      <rPr>
        <b/>
        <sz val="10"/>
        <rFont val="Arial"/>
        <family val="2"/>
      </rPr>
      <t>11</t>
    </r>
    <r>
      <rPr>
        <sz val="10"/>
        <rFont val="Arial"/>
        <family val="2"/>
      </rPr>
      <t xml:space="preserve"> = 6xB</t>
    </r>
  </si>
  <si>
    <r>
      <rPr>
        <b/>
        <sz val="10"/>
        <rFont val="Arial"/>
        <family val="2"/>
      </rPr>
      <t>12</t>
    </r>
    <r>
      <rPr>
        <sz val="10"/>
        <rFont val="Arial"/>
        <family val="2"/>
      </rPr>
      <t xml:space="preserve"> = 1x11</t>
    </r>
  </si>
  <si>
    <t>Coût horaire moyen (A) =</t>
  </si>
  <si>
    <t>Dépense U.</t>
  </si>
  <si>
    <r>
      <rPr>
        <b/>
        <sz val="10"/>
        <rFont val="Arial"/>
        <family val="2"/>
      </rPr>
      <t>3</t>
    </r>
    <r>
      <rPr>
        <sz val="10"/>
        <rFont val="Arial"/>
        <family val="2"/>
      </rPr>
      <t xml:space="preserve"> = 2xA</t>
    </r>
  </si>
  <si>
    <r>
      <rPr>
        <b/>
        <sz val="10"/>
        <rFont val="Arial"/>
        <family val="2"/>
      </rPr>
      <t>6</t>
    </r>
    <r>
      <rPr>
        <sz val="10"/>
        <rFont val="Arial"/>
        <family val="2"/>
      </rPr>
      <t xml:space="preserve"> = 3+4+5</t>
    </r>
  </si>
  <si>
    <r>
      <rPr>
        <b/>
        <sz val="10"/>
        <rFont val="Arial"/>
        <family val="2"/>
      </rPr>
      <t>7</t>
    </r>
    <r>
      <rPr>
        <sz val="10"/>
        <rFont val="Arial"/>
        <family val="2"/>
      </rPr>
      <t xml:space="preserve"> = 1x6</t>
    </r>
  </si>
  <si>
    <r>
      <rPr>
        <b/>
        <sz val="10"/>
        <rFont val="Arial"/>
        <family val="2"/>
      </rPr>
      <t>8</t>
    </r>
    <r>
      <rPr>
        <sz val="10"/>
        <rFont val="Arial"/>
        <family val="2"/>
      </rPr>
      <t xml:space="preserve"> = 1x4</t>
    </r>
  </si>
  <si>
    <r>
      <rPr>
        <b/>
        <sz val="10"/>
        <rFont val="Arial"/>
        <family val="2"/>
      </rPr>
      <t>9</t>
    </r>
    <r>
      <rPr>
        <sz val="10"/>
        <rFont val="Arial"/>
        <family val="2"/>
      </rPr>
      <t xml:space="preserve"> = 1x5</t>
    </r>
  </si>
  <si>
    <r>
      <rPr>
        <b/>
        <sz val="10"/>
        <rFont val="Arial"/>
        <family val="2"/>
      </rPr>
      <t>10</t>
    </r>
    <r>
      <rPr>
        <sz val="10"/>
        <rFont val="Arial"/>
        <family val="2"/>
      </rPr>
      <t xml:space="preserve"> = 1x2</t>
    </r>
  </si>
  <si>
    <t>Dans les quatre premières colonnes en partant de la gauche vous devez reporter tous les articles de votre avant métré.</t>
  </si>
  <si>
    <t>Colonne 7 le produit de la colonne quantité par la colonne 6</t>
  </si>
  <si>
    <t>Colonne 8 le produit de la colonne quantité par la colonne 4</t>
  </si>
  <si>
    <t>Colonne 9 le produit de la colonne quantité par la colonne 5</t>
  </si>
  <si>
    <t>Colonne 10 le produit de la colonne quantité par la colonne 2</t>
  </si>
  <si>
    <t>Dans les 5 colonnes suivantes soit les colonnes numérotées de 2 à 6, vous reporter les valeurs unitaires obtenus dans les fiches de sous détails de déboursé sec unitaire.</t>
  </si>
  <si>
    <t>Dans les colonnes 7 à 10 vous devez exécuter les opérations suivantes :</t>
  </si>
  <si>
    <t>Lorsque toutes les opérations seront effectuées vous faites le total des colonnes 7 à 10.</t>
  </si>
  <si>
    <t>Pour vérifier l’exactitude de vos calculs vous pouvez prendre le total des heures multiplié par le coût horaire moyen + total des fournitures +total matériel, l’ensemble doit être égal aux arrondis prêts au total du déboursé sec total.</t>
  </si>
  <si>
    <t>Calculer un prix de vente</t>
  </si>
  <si>
    <t xml:space="preserve">Ce sont des dépenses imputables à l'ensemble des travaux du chantier dans la mesure où elles ne peuvent </t>
  </si>
  <si>
    <t>être affectées à l'exécution d'un ouvrage élémentaire précis inscrit comme article dans le bordereau de vente.</t>
  </si>
  <si>
    <t>Le montant des déboursés secs d'un chantier calculé par le technicien en étude de prix s'élève à 23 000,00 €. Si les frais de chantier (F.C.) sont estimés à 12 % de ces déboursés secs (D.S.).</t>
  </si>
  <si>
    <t>On aura donc :</t>
  </si>
  <si>
    <t>Le montant des déboursés totaux (D.T.) :</t>
  </si>
  <si>
    <t>D.T. = D.S. + F.C.</t>
  </si>
  <si>
    <t>Nota : Dans le cas de calcul des frais de chantier en pourcentage (%), on peut écrire directement :</t>
  </si>
  <si>
    <t>D.T. = D.S. x (1,00 + % D.S.)</t>
  </si>
  <si>
    <t>F.C. = D.S. x 12%</t>
  </si>
  <si>
    <t>F.C.</t>
  </si>
  <si>
    <t>D.T.</t>
  </si>
  <si>
    <t>1,00+(0,12%x23000,00)</t>
  </si>
  <si>
    <t>Frais généraux ou frais de structure</t>
  </si>
  <si>
    <t xml:space="preserve">Ce sont les frais existants de par le fait même de la vie de l'entreprise, et indispensables pour qu'elle </t>
  </si>
  <si>
    <t>puisse "tourner", que l’on ne peut pas attribuer d’une manière certaine sur un chantier bien précis :</t>
  </si>
  <si>
    <t>Frais administratifs</t>
  </si>
  <si>
    <t>Frais techniques</t>
  </si>
  <si>
    <t>Frais commerciaux</t>
  </si>
  <si>
    <t>Frais comptables et financiers</t>
  </si>
  <si>
    <t>Amortissements – entretien matériel</t>
  </si>
  <si>
    <t>Contributions, taxes, impôts fonciers</t>
  </si>
  <si>
    <t>Frais divers non imputés aux chantiers</t>
  </si>
  <si>
    <t>Ce sont les frais engagés pour l'étude de la soumission, le marché et son exécution.</t>
  </si>
  <si>
    <t>Frais de dossiers,</t>
  </si>
  <si>
    <t>Frais de cautionnement,</t>
  </si>
  <si>
    <t>Études extérieures (sols, B.A., etc.),</t>
  </si>
  <si>
    <t>Bureau de contrôle.</t>
  </si>
  <si>
    <t>Ce pourcentage vous est donné par la direction de votre société.</t>
  </si>
  <si>
    <t>Frais de marché pouvant être évalués en valeur réelle (en déboursés)</t>
  </si>
  <si>
    <t>Frais de marché pouvant être évalués en % du prix de vente ou du déboursé total</t>
  </si>
  <si>
    <t>Frais d'adjudication</t>
  </si>
  <si>
    <t>Frais de cautionnement</t>
  </si>
  <si>
    <t>Frais d'études provenant de l'intervention de bureaux extérieurs</t>
  </si>
  <si>
    <t>Frais d'assurance complémentaire de groupe</t>
  </si>
  <si>
    <t>Frais pour intervention des bureaux de contrôle</t>
  </si>
  <si>
    <t>En pourcentage sur prix de vente</t>
  </si>
  <si>
    <t>Si on considère que le P.R. est égal à 100, le D.T. est donc égal à :</t>
  </si>
  <si>
    <t>18 % du P.R.</t>
  </si>
  <si>
    <t>1 % du P.R.</t>
  </si>
  <si>
    <t>Le pourcentage des frais généraux par rapport au D.T. devient :</t>
  </si>
  <si>
    <t>% du DT</t>
  </si>
  <si>
    <t>Le pourcentage des frais de marché par rapport au D.T. devient :</t>
  </si>
  <si>
    <t>libellé</t>
  </si>
  <si>
    <t>valeurs</t>
  </si>
  <si>
    <t>Déboursés Totaux</t>
  </si>
  <si>
    <t xml:space="preserve">Frais de marché </t>
  </si>
  <si>
    <t>Bénéfices et aléas</t>
  </si>
  <si>
    <t>Coefficient de vente= P.V./D.S.</t>
  </si>
  <si>
    <t>Détermination du coefficient de vente</t>
  </si>
  <si>
    <t>Bénéfice sur prix de vente</t>
  </si>
  <si>
    <t>4 % du P.V.</t>
  </si>
  <si>
    <t>-</t>
  </si>
  <si>
    <t>4+18+1</t>
  </si>
  <si>
    <t>100 - (4+18 + 1)</t>
  </si>
  <si>
    <t>Le pourcentage du bénéfice par rapport au P.R. devient :</t>
  </si>
  <si>
    <t>100 - 4</t>
  </si>
  <si>
    <t xml:space="preserve">Le bénéfice appelé aussi "marge bénéficiaire" est prévu, d'une part pour couvrir les aléas du chantier (différence entre prévision et réalisation), </t>
  </si>
  <si>
    <t>et d'autre part pour assurer le profit indispensable à la survie et à la prospérité de l'entreprise.</t>
  </si>
  <si>
    <t xml:space="preserve">Il s'exprime en pourcentage (%), soit sur le prix de revient, soit sur le prix de vente, et varie d'un chantier à l'autre en fonction de </t>
  </si>
  <si>
    <t>différents paramètres propres à l'entreprise (montant du devis, période d'exécution, etc…)</t>
  </si>
  <si>
    <t>Le coefficient de vente</t>
  </si>
  <si>
    <t>C'est pourquoi nous incorporerons ces frais et bénéfice à l'intérieur d'un coefficient de règlement.</t>
  </si>
  <si>
    <t>Ce coefficient de vente correspond à :</t>
  </si>
  <si>
    <t>Il est arrondi à 4 chiffres après la virgule.</t>
  </si>
  <si>
    <t xml:space="preserve">Les déboursés secs correspondent au coût d'exécution des ouvrages sur le chantier. Le client ne doit pas voir apparaître sur </t>
  </si>
  <si>
    <t>son devis le montant des frais de chantier ou des frais généraux, encore moins le montant du bénéfice escompté.</t>
  </si>
  <si>
    <t>Déboursé sec</t>
  </si>
  <si>
    <t>Coefficient de vente</t>
  </si>
  <si>
    <t>Prix de vente H.T. divisé par Déboursé sec</t>
  </si>
  <si>
    <t>Exemple:</t>
  </si>
  <si>
    <t>Les déboursés secs</t>
  </si>
  <si>
    <t>100.000,00 €</t>
  </si>
  <si>
    <t>Les frais de chantier</t>
  </si>
  <si>
    <t>10 % des D.S.</t>
  </si>
  <si>
    <t>Les frais de structure</t>
  </si>
  <si>
    <t>22 % des D.T.</t>
  </si>
  <si>
    <t>Le bénéfice</t>
  </si>
  <si>
    <t>8 % sur P.R.</t>
  </si>
  <si>
    <t>Méthode rapide de calcul</t>
  </si>
  <si>
    <t>Bénéfice donné en % sur prix de revient</t>
  </si>
  <si>
    <t>Le coefficient</t>
  </si>
  <si>
    <t>Prix de vente</t>
  </si>
  <si>
    <t>Bénéfice donné en % sur prix de vente</t>
  </si>
  <si>
    <t>100 - 8</t>
  </si>
  <si>
    <t>Taxe à la valeur ajoutée (T.V.A.)</t>
  </si>
  <si>
    <t>On appelle valeur ajoutée :</t>
  </si>
  <si>
    <t xml:space="preserve">La T.V.A. (taxe à la valeur ajoutée) est en fait un impôt lié à la production et à la vente d'un produit. </t>
  </si>
  <si>
    <t>Donc, dès que l'on achète un produit, on paie un impôt à l'état.</t>
  </si>
  <si>
    <t>La plus-value donnée par un producteur à une marchandise,</t>
  </si>
  <si>
    <t>La marge d'un commerçant.</t>
  </si>
  <si>
    <t>et le prix d'achat hors taxe des produits entrant dans la composition de l'ouvrage.</t>
  </si>
  <si>
    <t xml:space="preserve">Pour un entrepreneur, la valeur ajoutée est la différence entre le prix de vente hors taxe de l'ouvrage </t>
  </si>
  <si>
    <t>Un fabricant d'agglomérés achète, auprès d'un fournisseur, des matières premières (sable, gravier, ciment) pour une somme de 1 000,00 € hors taxe.</t>
  </si>
  <si>
    <t>Il confectionne des agglos et les vend à un particulier au prix de 1 800,00 € hors taxe.</t>
  </si>
  <si>
    <t>Le particulier payera au fabriquant la somme T.T.C de :</t>
  </si>
  <si>
    <t>Le fabriquant payera au fournisseur la somme T.T.C. de</t>
  </si>
  <si>
    <t>La valeur ajoutée du fabricant est de :</t>
  </si>
  <si>
    <t>Le fabricant doit au fisc la T.V.A. sur 800,00 €</t>
  </si>
  <si>
    <t>Conclusion : Seul les clients particuliers payent réellement la T.V.A.. Le fabriquant et le fournisseur servent de collecteurs d’impôts.</t>
  </si>
  <si>
    <t>Le fournisseur doit au fisc la T.V.A. sur 1 000,00 €</t>
  </si>
  <si>
    <t>1800.00 x 1.20 = 2160 € dont T.V.A. = 360 €</t>
  </si>
  <si>
    <t>1000.00 x 1.20 = 1200.00 € dont T.V.A. = 200.00 €</t>
  </si>
  <si>
    <t xml:space="preserve">Soit </t>
  </si>
  <si>
    <t xml:space="preserve">1 000.00 </t>
  </si>
  <si>
    <t>qui lui a été payé par le fabriquant</t>
  </si>
  <si>
    <t xml:space="preserve">x </t>
  </si>
  <si>
    <t xml:space="preserve">et il a payé au fournisseur </t>
  </si>
  <si>
    <t xml:space="preserve">Soit un total de </t>
  </si>
  <si>
    <t>qui lui a été payé par le client.</t>
  </si>
  <si>
    <t>% sur travaux entreprise</t>
  </si>
  <si>
    <t>% sur travaux sous traités</t>
  </si>
  <si>
    <t>Montants travaux entreprise</t>
  </si>
  <si>
    <t>Montants travaux sous traités</t>
  </si>
  <si>
    <t>Montant travaux entreprise</t>
  </si>
  <si>
    <t>ENTREPRISE</t>
  </si>
  <si>
    <t>DEBOURSES SECS DS</t>
  </si>
  <si>
    <t>% du D.S</t>
  </si>
  <si>
    <t>% du P.V H.T</t>
  </si>
  <si>
    <t>% du D.T</t>
  </si>
  <si>
    <t>% du P.R</t>
  </si>
  <si>
    <t>FC :</t>
  </si>
  <si>
    <t>% DS</t>
  </si>
  <si>
    <t>en % des déboursés secs</t>
  </si>
  <si>
    <t>FG :</t>
  </si>
  <si>
    <t>% DT HT</t>
  </si>
  <si>
    <t>en valeur total estimée</t>
  </si>
  <si>
    <t>Frais de chantier :</t>
  </si>
  <si>
    <t>FM :</t>
  </si>
  <si>
    <t>en déboursé en selon détail calcul FC</t>
  </si>
  <si>
    <t>PRORATA :</t>
  </si>
  <si>
    <t>Total F.C.</t>
  </si>
  <si>
    <t>Frais généraux :</t>
  </si>
  <si>
    <t>BE :</t>
  </si>
  <si>
    <t>% PV HT</t>
  </si>
  <si>
    <t>DEBOURSES TOTAUX DT</t>
  </si>
  <si>
    <t>Frais généraux de structure</t>
  </si>
  <si>
    <t>Frais de marchés :</t>
  </si>
  <si>
    <t>en % des déboursés totaux</t>
  </si>
  <si>
    <t>Prorata :</t>
  </si>
  <si>
    <t>en % du prix de vente H.T.</t>
  </si>
  <si>
    <t>Bénéfices et aléas :</t>
  </si>
  <si>
    <t>Total F.G.</t>
  </si>
  <si>
    <t>Montant travaux sous-traités</t>
  </si>
  <si>
    <t>SOUS TRAITANT</t>
  </si>
  <si>
    <t>en % du prix de vente HT</t>
  </si>
  <si>
    <t>Prorata  en % du DT H.T :</t>
  </si>
  <si>
    <t>Prorata  en % du PV H.T :</t>
  </si>
  <si>
    <t>en % du D.T H.T.</t>
  </si>
  <si>
    <t>% ST H.T</t>
  </si>
  <si>
    <t>Total F.M.</t>
  </si>
  <si>
    <t>PRIX DE REVIENT PR</t>
  </si>
  <si>
    <t>en % du prix de revient</t>
  </si>
  <si>
    <t>% PR HT</t>
  </si>
  <si>
    <t>Total Bénéfice</t>
  </si>
  <si>
    <t>PRIX DE VENTE HT</t>
  </si>
  <si>
    <t>T.V.A. taux</t>
  </si>
  <si>
    <t>PRIX DE VENTE T.T.C.</t>
  </si>
  <si>
    <t>PRIX DE VENTE TOTAL T.T.C.</t>
  </si>
  <si>
    <t>COEFFICIENTS DE VENTE HT</t>
  </si>
  <si>
    <t>Travaux entreprise    Kc</t>
  </si>
  <si>
    <t>Travaux sous traités K1</t>
  </si>
  <si>
    <t>MARGE BRUT</t>
  </si>
  <si>
    <t>D²</t>
  </si>
  <si>
    <t>ALT + l + ç + a</t>
  </si>
  <si>
    <t>COLONNES</t>
  </si>
  <si>
    <t>ALT + l + ç + j</t>
  </si>
  <si>
    <t>LIGNES</t>
  </si>
  <si>
    <t>CALCUL DU COUT HORAIRE DE LA MAIN D'ŒUVRE</t>
  </si>
  <si>
    <t>CHEMINEMENT  D'UNE   ETUDE   DE   PRIX</t>
  </si>
  <si>
    <t>MATERIAUX</t>
  </si>
  <si>
    <t>SALAIRE + CHARGES</t>
  </si>
  <si>
    <t>MATERIEL AFFECTE</t>
  </si>
  <si>
    <t>QUANTITATIF</t>
  </si>
  <si>
    <t>PRIX UNITAIRES  D.S</t>
  </si>
  <si>
    <t>FRAIS DE CHANTIER</t>
  </si>
  <si>
    <t>DEBOURSES SECS</t>
  </si>
  <si>
    <t xml:space="preserve">DEBOURSES TOTAUX </t>
  </si>
  <si>
    <t>FRAIS DE MARCHE     /     FRAIS GENERAUX</t>
  </si>
  <si>
    <t>PRIX DE REVIENT</t>
  </si>
  <si>
    <t>BENEFICE</t>
  </si>
  <si>
    <t>T.V.A</t>
  </si>
  <si>
    <t>PRIX DE VENTE  H.T</t>
  </si>
  <si>
    <t>PRIX DE VENTE   T.T.C</t>
  </si>
  <si>
    <t>ETAPE        N°1</t>
  </si>
  <si>
    <t>VOIR COUR P31</t>
  </si>
  <si>
    <t>CALCUL   DU   C.H.M (coût horaire moyen )</t>
  </si>
  <si>
    <t xml:space="preserve">NBR  D'HEURES PAR SEMAINE </t>
  </si>
  <si>
    <t xml:space="preserve">NBR DE JOURS </t>
  </si>
  <si>
    <t>( En générale 35,00 heures / mois )</t>
  </si>
  <si>
    <t>( En général 5 jours / semaine )</t>
  </si>
  <si>
    <t>DETERMINATION DE L'EQUIPE</t>
  </si>
  <si>
    <t>( niveaux de qualifications de chaques ouvriers )</t>
  </si>
  <si>
    <t>DETERMINATION DE LEURS TARIFS HORAIRES</t>
  </si>
  <si>
    <t>ATTENTION A LA MAJORATION  ( en % )</t>
  </si>
  <si>
    <t>( Informations données / legifrance code IDCC 1597 )</t>
  </si>
  <si>
    <t>DETERMINATION INCIDENCE HEURES SUPPS ( en % )</t>
  </si>
  <si>
    <t xml:space="preserve"> POURCENTAGE SUR TARIFS HORAIRES MAJORES</t>
  </si>
  <si>
    <t>( données entreprises si exemple 39 H / mois )</t>
  </si>
  <si>
    <t xml:space="preserve"> (1 ER) TOTAL TARIF HORAIRE + HEURES SUPPS</t>
  </si>
  <si>
    <t>DETERMINATION  TEMPS IMPRODUCTIF ( en % )</t>
  </si>
  <si>
    <t>POURCENTAGE SUR (1 ER) TOTAL</t>
  </si>
  <si>
    <t>( données entreprises )</t>
  </si>
  <si>
    <t>TOTAL SALAIRE DE BASE MAJORE</t>
  </si>
  <si>
    <t>DETERMINATIONS INDEMNITES JOURNALIERES</t>
  </si>
  <si>
    <t xml:space="preserve">TRANSPORT </t>
  </si>
  <si>
    <t>TOTAL INDEMNITES x NBRE DE JOURS / NBRE HEURES</t>
  </si>
  <si>
    <t>PRIMES EVENTUELLES</t>
  </si>
  <si>
    <t>TOTAL  INDEMNITES</t>
  </si>
  <si>
    <t>DETERMINATION CHARGES SALARIALES</t>
  </si>
  <si>
    <t>CHARGES SUR TOTAL SALAIRES MAJORE</t>
  </si>
  <si>
    <t>( en gégérale 80 % du salaire )</t>
  </si>
  <si>
    <t>CHARGES SUR TOTAL INDEMNITES</t>
  </si>
  <si>
    <t>( en générale 56 % des indemnités )</t>
  </si>
  <si>
    <t xml:space="preserve">TOTAL  DES  CHARGES </t>
  </si>
  <si>
    <t>COUT  HORAIRE  DE  MAIN  D'ŒUVRE/QUALIFS</t>
  </si>
  <si>
    <t>DETERMINATION DU NBR DE PERSONNES / QUALIFS</t>
  </si>
  <si>
    <t>TOTAL COUT HORAIRE / QUALIFS</t>
  </si>
  <si>
    <t>( somme des salaires de l'équipe )</t>
  </si>
  <si>
    <t>NBR DE PERSONNES TOTAL</t>
  </si>
  <si>
    <t>COUT  HORAIRE  MOYEN</t>
  </si>
  <si>
    <t>REFERENCE TABLEAU N°1</t>
  </si>
  <si>
    <t>ETAPE        N°  2</t>
  </si>
  <si>
    <t>VOIR COUR P32</t>
  </si>
  <si>
    <t>TEMPS UNITAIRE A PARTIR DE DONNEES D'UN CHANTIER</t>
  </si>
  <si>
    <t>TOUJOURS EN HEURES DECIMALES</t>
  </si>
  <si>
    <t>Durée en Heures 
decimale     =</t>
  </si>
  <si>
    <t>durée en heures  +</t>
  </si>
  <si>
    <t>durée en minutes</t>
  </si>
  <si>
    <t>60 minutes</t>
  </si>
  <si>
    <t>DETERMINATION RESULTAT DE CHANTIER</t>
  </si>
  <si>
    <t>EXEMPLE :</t>
  </si>
  <si>
    <t>Un ouvrier a travaillé 25h30 mn</t>
  </si>
  <si>
    <t>L'engin de terrassement a été affecté durant 24 h</t>
  </si>
  <si>
    <t>Et la quantité et de 89,350 m3</t>
  </si>
  <si>
    <t>Pour la main d'oeuvre   :</t>
  </si>
  <si>
    <t>25,50 H</t>
  </si>
  <si>
    <t>: 0,29 h/m3</t>
  </si>
  <si>
    <t>89,350 m3</t>
  </si>
  <si>
    <t xml:space="preserve">TEMPS D'EXCUTION POUR FOUILLE </t>
  </si>
  <si>
    <t>PAS DE TABLEAUX</t>
  </si>
  <si>
    <t>Pour l'engin :</t>
  </si>
  <si>
    <t>24 H</t>
  </si>
  <si>
    <t xml:space="preserve"> : 0,27 h/m3</t>
  </si>
  <si>
    <t>ETAPE     N°  3</t>
  </si>
  <si>
    <t>VOIR COUR P33</t>
  </si>
  <si>
    <t xml:space="preserve">CALCUL  COUT  MATERIAUX  REDUS  CHANTIER  </t>
  </si>
  <si>
    <t>COMMENT CALCULER UN COUT DE TRANSPORT</t>
  </si>
  <si>
    <t>POUR UN VOYAGE COMPLET</t>
  </si>
  <si>
    <t>Coût de transport 64,00 Euros</t>
  </si>
  <si>
    <t>Il y a 8 palettes / transport à 60 U par pallette</t>
  </si>
  <si>
    <t>Quantité :</t>
  </si>
  <si>
    <t xml:space="preserve">8 x 60 = </t>
  </si>
  <si>
    <t xml:space="preserve">480  agglos </t>
  </si>
  <si>
    <t>Transport :</t>
  </si>
  <si>
    <t>64,00 Euros</t>
  </si>
  <si>
    <t xml:space="preserve"> : 0,14 euros/U</t>
  </si>
  <si>
    <t>480 Agglos</t>
  </si>
  <si>
    <t>( le prix unitaire tjrs arrondi en centimes par excès )</t>
  </si>
  <si>
    <t>POUR UN VOYAGE INCOMPLET</t>
  </si>
  <si>
    <t xml:space="preserve">Les sommes trouvées seront à reporter 
dans le tableau rendu chantier, ne pas oublier 
les pertes et de ramener tout a l'unité d'ouvrage.
</t>
  </si>
  <si>
    <t>20 Pallettes sur le chantier</t>
  </si>
  <si>
    <t>Coût de transport 64,00 x 3 voyages</t>
  </si>
  <si>
    <t>( 3 = 20 pallettes / 8 pallettes par voyage en chiffre entier )</t>
  </si>
  <si>
    <t>20 x 60 =</t>
  </si>
  <si>
    <t>1200 agglos</t>
  </si>
  <si>
    <t>192,00 Euros</t>
  </si>
  <si>
    <t>: 0,16 euros/U</t>
  </si>
  <si>
    <t>1200 Agglos</t>
  </si>
  <si>
    <t>REFERENCE TABLEAU N° 2</t>
  </si>
  <si>
    <t>( soit une pluvalue dans ce cas de 0,02 euros/U °</t>
  </si>
  <si>
    <t>ETAPE      N°   4</t>
  </si>
  <si>
    <t>VOIR COUR P34</t>
  </si>
  <si>
    <t>CALCUL COUT MATERIEL AFFECTE OU INDIVIS</t>
  </si>
  <si>
    <t>DEFINITION :</t>
  </si>
  <si>
    <t>1 er Catégories</t>
  </si>
  <si>
    <t>LE MATERIEL AFFECTE</t>
  </si>
  <si>
    <t>Matériel affecté à l'exécution d'une ou plusieurs nature d'ouvrage ou amorti totalement sur un chantier donné</t>
  </si>
  <si>
    <t>Brise béton / Pelle mécanique / Coffrages fabriqués que pour le chantier</t>
  </si>
  <si>
    <t>800 m3 de béton pour un chantier.</t>
  </si>
  <si>
    <t>2 eme Catégories</t>
  </si>
  <si>
    <t>LE MATERIEL INDIVIS</t>
  </si>
  <si>
    <t>location de 2 mois d'une bétonnière</t>
  </si>
  <si>
    <t>à 2500/mois.</t>
  </si>
  <si>
    <t>Matériel affecté au chantier pour différents ouvrages voir différents chantier</t>
  </si>
  <si>
    <t>le consomable et de 100/mois.</t>
  </si>
  <si>
    <t>montage + démontage 1500/mois.</t>
  </si>
  <si>
    <t xml:space="preserve"> Grue de chantier / Bétonnière pour les bétons et mortiers</t>
  </si>
  <si>
    <t>(2500+100)x2mois        = 5200 euros</t>
  </si>
  <si>
    <t>montage+démontage=1500 euros</t>
  </si>
  <si>
    <t>TOTAL                               =6700 euros</t>
  </si>
  <si>
    <t>divisé par                             800 m3</t>
  </si>
  <si>
    <t>COUT DU MATERIEL :</t>
  </si>
  <si>
    <t xml:space="preserve">                                                 8,38 euros/m3</t>
  </si>
  <si>
    <t>POUR LE COUT DU MATERIEL 3 CAS :</t>
  </si>
  <si>
    <t>L'entreprise possède son propre matèriel</t>
  </si>
  <si>
    <t>L'entreprise ne possède pas de matériel</t>
  </si>
  <si>
    <t>L'entreprise sous traite</t>
  </si>
  <si>
    <t>DUREE DE LOCATION :</t>
  </si>
  <si>
    <t>POUR LA DUREE DE LOCATION 3 CAS :</t>
  </si>
  <si>
    <t>Matériel loué avec chauffeur</t>
  </si>
  <si>
    <t>Matériel loué sans personnel</t>
  </si>
  <si>
    <t>Mise en disponibilité</t>
  </si>
  <si>
    <t>MODE DE CALCUL :</t>
  </si>
  <si>
    <t>MATERIEL SE RENDANT PAR SES PROPRES MOYENS SUR CHANTIER</t>
  </si>
  <si>
    <t>Terrassement en rigole de : 15,800 m3</t>
  </si>
  <si>
    <t>Location d'un tracto pelle : 40 euros/heure</t>
  </si>
  <si>
    <t>prix au m3:</t>
  </si>
  <si>
    <t>( 5+1 heure )x 40</t>
  </si>
  <si>
    <t xml:space="preserve"> : 15,19 euros / m3</t>
  </si>
  <si>
    <t>Transferment du chantier precedent : 1 heures</t>
  </si>
  <si>
    <t>15,800 m3</t>
  </si>
  <si>
    <t>Exécution de l'ouvrage sur le chantier : 5 heures</t>
  </si>
  <si>
    <t>ou</t>
  </si>
  <si>
    <t>prix au déboursé sec :</t>
  </si>
  <si>
    <t>5+1 heures</t>
  </si>
  <si>
    <t>: 0,38 heures / m3</t>
  </si>
  <si>
    <t>MATERIEL LIVRE PAR TRANSPORTEUR SUR LE CHANTIER</t>
  </si>
  <si>
    <t>Banchage a éffectuer : 183,50 m2</t>
  </si>
  <si>
    <t>Donc surface de banchage a louer 200 m2 : 1,00 euros/jour</t>
  </si>
  <si>
    <t>Prix d'un voyage : 100 euros</t>
  </si>
  <si>
    <t>Planning :      3 jours pour le coffrage et coulage</t>
  </si>
  <si>
    <t>Démarrage prévu un mercredi donc livraison mardi et retour
le mardi suivant, d’où locatoin 8 jours au total.</t>
  </si>
  <si>
    <t>1 jours pour le décoffrage</t>
  </si>
  <si>
    <t>Donc prix de la location   :</t>
  </si>
  <si>
    <t xml:space="preserve">   8 x 200m² x 1,00 euros   :</t>
  </si>
  <si>
    <t>1600,00 euros</t>
  </si>
  <si>
    <t>Transport aller retour       :</t>
  </si>
  <si>
    <t xml:space="preserve">   2 x 100 euros                     :</t>
  </si>
  <si>
    <t xml:space="preserve">     200,00 euros</t>
  </si>
  <si>
    <t>D’où total de la location  :</t>
  </si>
  <si>
    <t>1800,00 euros</t>
  </si>
  <si>
    <t>Prix en euros par unité d'ouvrage :</t>
  </si>
  <si>
    <t>:  9,81 euros / m3</t>
  </si>
  <si>
    <t>AMORTISSEMENT :</t>
  </si>
  <si>
    <t>AMORTISSEMENT EN %</t>
  </si>
  <si>
    <t>100 ( base )</t>
  </si>
  <si>
    <t>: 20% de la valeur
à amortir</t>
  </si>
  <si>
    <t>5 ( nbr d'années )</t>
  </si>
  <si>
    <t>R :</t>
  </si>
  <si>
    <t>X</t>
  </si>
  <si>
    <r>
      <t xml:space="preserve">1 +    1
          </t>
    </r>
    <r>
      <rPr>
        <b/>
        <i/>
        <sz val="14"/>
        <color rgb="FF00B050"/>
        <rFont val="Aptos Narrow"/>
        <family val="2"/>
        <scheme val="minor"/>
      </rPr>
      <t>n</t>
    </r>
  </si>
  <si>
    <r>
      <rPr>
        <b/>
        <sz val="14"/>
        <color rgb="FF7030A0"/>
        <rFont val="Aptos Narrow"/>
        <family val="2"/>
        <scheme val="minor"/>
      </rPr>
      <t>a</t>
    </r>
    <r>
      <rPr>
        <b/>
        <sz val="14"/>
        <color theme="1"/>
        <rFont val="Aptos Narrow"/>
        <family val="2"/>
        <scheme val="minor"/>
      </rPr>
      <t xml:space="preserve">  - </t>
    </r>
  </si>
  <si>
    <t>V</t>
  </si>
  <si>
    <t>n</t>
  </si>
  <si>
    <r>
      <rPr>
        <b/>
        <sz val="14"/>
        <color rgb="FFFF0000"/>
        <rFont val="Aptos Narrow"/>
        <family val="2"/>
        <scheme val="minor"/>
      </rPr>
      <t>R</t>
    </r>
    <r>
      <rPr>
        <b/>
        <sz val="14"/>
        <color theme="1"/>
        <rFont val="Aptos Narrow"/>
        <family val="2"/>
        <scheme val="minor"/>
      </rPr>
      <t xml:space="preserve"> : </t>
    </r>
    <r>
      <rPr>
        <sz val="14"/>
        <color theme="1"/>
        <rFont val="Aptos Narrow"/>
        <family val="2"/>
        <scheme val="minor"/>
      </rPr>
      <t>Remboursement annuel ou amortissement anunuel</t>
    </r>
  </si>
  <si>
    <r>
      <rPr>
        <b/>
        <sz val="14"/>
        <color rgb="FF0070C0"/>
        <rFont val="Aptos Narrow"/>
        <family val="2"/>
        <scheme val="minor"/>
      </rPr>
      <t>C</t>
    </r>
    <r>
      <rPr>
        <b/>
        <sz val="14"/>
        <color theme="1"/>
        <rFont val="Aptos Narrow"/>
        <family val="2"/>
        <scheme val="minor"/>
      </rPr>
      <t xml:space="preserve"> : </t>
    </r>
    <r>
      <rPr>
        <sz val="14"/>
        <color theme="1"/>
        <rFont val="Aptos Narrow"/>
        <family val="2"/>
        <scheme val="minor"/>
      </rPr>
      <t>Capital à amortir</t>
    </r>
  </si>
  <si>
    <r>
      <rPr>
        <b/>
        <sz val="14"/>
        <color rgb="FF7030A0"/>
        <rFont val="Aptos Narrow"/>
        <family val="2"/>
        <scheme val="minor"/>
      </rPr>
      <t>a</t>
    </r>
    <r>
      <rPr>
        <b/>
        <sz val="14"/>
        <color theme="1"/>
        <rFont val="Aptos Narrow"/>
        <family val="2"/>
        <scheme val="minor"/>
      </rPr>
      <t xml:space="preserve"> : </t>
    </r>
    <r>
      <rPr>
        <sz val="14"/>
        <color theme="1"/>
        <rFont val="Aptos Narrow"/>
        <family val="2"/>
        <scheme val="minor"/>
      </rPr>
      <t>Taux d'intérêt des emprunts</t>
    </r>
  </si>
  <si>
    <r>
      <rPr>
        <b/>
        <i/>
        <sz val="14"/>
        <color rgb="FF00B050"/>
        <rFont val="Aptos Narrow"/>
        <family val="2"/>
        <scheme val="minor"/>
      </rPr>
      <t>n</t>
    </r>
    <r>
      <rPr>
        <b/>
        <sz val="14"/>
        <color theme="1"/>
        <rFont val="Aptos Narrow"/>
        <family val="2"/>
        <scheme val="minor"/>
      </rPr>
      <t xml:space="preserve">: </t>
    </r>
    <r>
      <rPr>
        <sz val="14"/>
        <color theme="1"/>
        <rFont val="Aptos Narrow"/>
        <family val="2"/>
        <scheme val="minor"/>
      </rPr>
      <t>Nombre d'années</t>
    </r>
  </si>
  <si>
    <r>
      <rPr>
        <b/>
        <sz val="14"/>
        <color theme="1" tint="0.34998626667073579"/>
        <rFont val="Aptos Narrow"/>
        <family val="2"/>
        <scheme val="minor"/>
      </rPr>
      <t>V</t>
    </r>
    <r>
      <rPr>
        <b/>
        <sz val="14"/>
        <color theme="1"/>
        <rFont val="Aptos Narrow"/>
        <family val="2"/>
        <scheme val="minor"/>
      </rPr>
      <t xml:space="preserve"> :</t>
    </r>
    <r>
      <rPr>
        <sz val="14"/>
        <color theme="1"/>
        <rFont val="Aptos Narrow"/>
        <family val="2"/>
        <scheme val="minor"/>
      </rPr>
      <t xml:space="preserve"> Taux de la valeur résiduelle</t>
    </r>
  </si>
  <si>
    <t>AMORTISSEMENT D'UN ENGIN TERRASSEMENT</t>
  </si>
  <si>
    <t>Valeur d'achat</t>
  </si>
  <si>
    <t>: 75000,00 euros</t>
  </si>
  <si>
    <t>Application de la formule:</t>
  </si>
  <si>
    <t>Durée d'amortissement linéaire</t>
  </si>
  <si>
    <t>:           7,00 ans</t>
  </si>
  <si>
    <t>Taux d'intérêt des emprunts</t>
  </si>
  <si>
    <t>:         10,00 %</t>
  </si>
  <si>
    <t xml:space="preserve">R = 7500 x </t>
  </si>
  <si>
    <t>100 + 10</t>
  </si>
  <si>
    <t>1   +    1         +</t>
  </si>
  <si>
    <t xml:space="preserve">  4  -  10</t>
  </si>
  <si>
    <t>Augmentation du coût de la vie</t>
  </si>
  <si>
    <t>:           4,00 %</t>
  </si>
  <si>
    <t xml:space="preserve">   7       2</t>
  </si>
  <si>
    <t>Valeur résiduelle</t>
  </si>
  <si>
    <t>Utilisation</t>
  </si>
  <si>
    <t>:         10,00 mois x 151 heures</t>
  </si>
  <si>
    <t>Ramener au dénominateur commun:</t>
  </si>
  <si>
    <t xml:space="preserve">R = 7500 x  </t>
  </si>
  <si>
    <t>100 +  5      8</t>
  </si>
  <si>
    <t xml:space="preserve">  +  28  -  10 </t>
  </si>
  <si>
    <t xml:space="preserve">R = 75000 x </t>
  </si>
  <si>
    <r>
      <t xml:space="preserve">158    =  </t>
    </r>
    <r>
      <rPr>
        <sz val="11"/>
        <color rgb="FFC00000"/>
        <rFont val="Aptos Narrow"/>
        <family val="2"/>
        <scheme val="minor"/>
      </rPr>
      <t xml:space="preserve"> 16928,57</t>
    </r>
  </si>
  <si>
    <t xml:space="preserve">  7        1      7</t>
  </si>
  <si>
    <t xml:space="preserve">       7        7</t>
  </si>
  <si>
    <t>L'amortissement à l'heure sera de :</t>
  </si>
  <si>
    <t xml:space="preserve"> : 11,21 euros/heure</t>
  </si>
  <si>
    <t>REFERENCE TABLEAU N° 3</t>
  </si>
  <si>
    <t>ETAPE     N°   5</t>
  </si>
  <si>
    <t>VOIR COUR P 35</t>
  </si>
  <si>
    <t>CALCULER LES SOUS DETAILS DE PRIX ET LE TOTAL DES DS</t>
  </si>
  <si>
    <t xml:space="preserve">SOUS DETAIL DE PRIX UNITAIRE </t>
  </si>
  <si>
    <r>
      <t xml:space="preserve">: NOTION de </t>
    </r>
    <r>
      <rPr>
        <b/>
        <sz val="11"/>
        <color rgb="FF0070C0"/>
        <rFont val="Aptos Narrow"/>
        <family val="2"/>
        <scheme val="minor"/>
      </rPr>
      <t>QUANTITES</t>
    </r>
    <r>
      <rPr>
        <sz val="11"/>
        <color theme="1"/>
        <rFont val="Aptos Narrow"/>
        <family val="2"/>
        <scheme val="minor"/>
      </rPr>
      <t xml:space="preserve"> ( nécessaire à l'ouvrage ) et de </t>
    </r>
    <r>
      <rPr>
        <b/>
        <sz val="11"/>
        <color rgb="FF0070C0"/>
        <rFont val="Aptos Narrow"/>
        <family val="2"/>
        <scheme val="minor"/>
      </rPr>
      <t>PRIX</t>
    </r>
    <r>
      <rPr>
        <sz val="11"/>
        <color theme="1"/>
        <rFont val="Aptos Narrow"/>
        <family val="2"/>
        <scheme val="minor"/>
      </rPr>
      <t xml:space="preserve"> ( prix rendus chantier )</t>
    </r>
  </si>
  <si>
    <t xml:space="preserve">Pour le matériel </t>
  </si>
  <si>
    <r>
      <t xml:space="preserve">: NOTION de </t>
    </r>
    <r>
      <rPr>
        <b/>
        <sz val="11"/>
        <color rgb="FF0070C0"/>
        <rFont val="Aptos Narrow"/>
        <family val="2"/>
        <scheme val="minor"/>
      </rPr>
      <t>RENDEMENT</t>
    </r>
    <r>
      <rPr>
        <sz val="11"/>
        <color theme="1"/>
        <rFont val="Aptos Narrow"/>
        <family val="2"/>
        <scheme val="minor"/>
      </rPr>
      <t xml:space="preserve"> ( pour l'exécution ouvrage ) et de </t>
    </r>
    <r>
      <rPr>
        <b/>
        <sz val="11"/>
        <color rgb="FF0070C0"/>
        <rFont val="Aptos Narrow"/>
        <family val="2"/>
        <scheme val="minor"/>
      </rPr>
      <t>PRIX</t>
    </r>
    <r>
      <rPr>
        <b/>
        <sz val="11"/>
        <color theme="1"/>
        <rFont val="Aptos Narrow"/>
        <family val="2"/>
        <scheme val="minor"/>
      </rPr>
      <t xml:space="preserve"> </t>
    </r>
    <r>
      <rPr>
        <sz val="11"/>
        <color theme="1"/>
        <rFont val="Aptos Narrow"/>
        <family val="2"/>
        <scheme val="minor"/>
      </rPr>
      <t>( location, amortissement )</t>
    </r>
  </si>
  <si>
    <t>FAIRE UNE FICHE DE SOUS DETAIL PAR OUVRAGE</t>
  </si>
  <si>
    <r>
      <t xml:space="preserve">: NOTION de </t>
    </r>
    <r>
      <rPr>
        <b/>
        <sz val="11"/>
        <color rgb="FF0070C0"/>
        <rFont val="Aptos Narrow"/>
        <family val="2"/>
        <scheme val="minor"/>
      </rPr>
      <t>TEMPS</t>
    </r>
    <r>
      <rPr>
        <sz val="11"/>
        <color theme="1"/>
        <rFont val="Aptos Narrow"/>
        <family val="2"/>
        <scheme val="minor"/>
      </rPr>
      <t xml:space="preserve"> d'exécution ( quantité d'heures ) et de </t>
    </r>
    <r>
      <rPr>
        <b/>
        <sz val="11"/>
        <color rgb="FF0070C0"/>
        <rFont val="Aptos Narrow"/>
        <family val="2"/>
        <scheme val="minor"/>
      </rPr>
      <t>PRIX</t>
    </r>
    <r>
      <rPr>
        <sz val="11"/>
        <color theme="1"/>
        <rFont val="Aptos Narrow"/>
        <family val="2"/>
        <scheme val="minor"/>
      </rPr>
      <t xml:space="preserve"> ( coût horaire moyen )</t>
    </r>
  </si>
  <si>
    <t>REFERENCE TABLEAU N° 4</t>
  </si>
  <si>
    <t xml:space="preserve">CALCUL DE PRIX </t>
  </si>
  <si>
    <t>REMPLIR LE TABLEAU POUR OBTENIR LE TOTAL DES DS</t>
  </si>
  <si>
    <t>REFERENCE TABLEAU N° 5</t>
  </si>
  <si>
    <t>ETAPE    N°   6</t>
  </si>
  <si>
    <t>VOIR COUR P 36</t>
  </si>
  <si>
    <t>CALCULER UN PRIX DE VENTE</t>
  </si>
  <si>
    <t>TOTAL DES D.S</t>
  </si>
  <si>
    <t>FRAIS DE CHANTIER   ( en % sur D.S )</t>
  </si>
  <si>
    <t>DEBOURSES TOTAUX</t>
  </si>
  <si>
    <t>FRAIS GENERAUX ( en % sur D.S.T )</t>
  </si>
  <si>
    <t>DEBOURSES  TOTAUX</t>
  </si>
  <si>
    <t xml:space="preserve">PRIX DE REVIENT </t>
  </si>
  <si>
    <t>FRAIS DE MARCHE ( en % sur D.S.T )</t>
  </si>
  <si>
    <t>BENEFICE ET ALEAS ( en % sur P.V )</t>
  </si>
  <si>
    <t>PRIX DE VENTE H.T</t>
  </si>
  <si>
    <r>
      <t xml:space="preserve">T.V.A  </t>
    </r>
    <r>
      <rPr>
        <sz val="11"/>
        <color theme="1"/>
        <rFont val="Aptos Narrow"/>
        <family val="2"/>
        <scheme val="minor"/>
      </rPr>
      <t>( 19,6 % en général )</t>
    </r>
  </si>
  <si>
    <t>PRIX DE VENTE T.T.C</t>
  </si>
  <si>
    <t>COEFFICIENT DE VENTE =</t>
  </si>
  <si>
    <t>GARDER 4 CHIFFRES 
APRES LA VIRGULE</t>
  </si>
  <si>
    <t>ATTENTION AU DONNEE DES 
POURCENTAGE</t>
  </si>
  <si>
    <t>POUR LES FRAIS GENERAUX SI DONNE SUR PRIX DE VENTE :</t>
  </si>
  <si>
    <t>100 -</t>
  </si>
  <si>
    <t>( + % Frais généraux + % Frais marché + % Bénéfice )</t>
  </si>
  <si>
    <t xml:space="preserve">        x % Frais generaux</t>
  </si>
  <si>
    <t>: VALEUR DU POURCENTAGE SUR D.T</t>
  </si>
  <si>
    <t>POUR LES FRAIS DE MARCHE DONNE SUR PRIX DE VENTE :</t>
  </si>
  <si>
    <t>Même formule que précèdement</t>
  </si>
  <si>
    <t>mais x % Frais de marché</t>
  </si>
  <si>
    <t xml:space="preserve"> : VALEUR DU POURCENTAGE SUR D.T</t>
  </si>
  <si>
    <t>POUR LES BENEFICE SUR PRIX DE VENTE :</t>
  </si>
  <si>
    <t xml:space="preserve">      100 - % Bénéfice</t>
  </si>
  <si>
    <t>x % Bénéfice</t>
  </si>
  <si>
    <t xml:space="preserve">   : VALEUR DU POURCENTAGE SUR P.R</t>
  </si>
  <si>
    <t xml:space="preserve">REFERENCE TABLEAU N°  6 </t>
  </si>
  <si>
    <t>ETAPE  N°   7</t>
  </si>
  <si>
    <t>ETABLIR LE DEVIS  ESTIMATIF</t>
  </si>
  <si>
    <t>REFERENCE TABLEAU N°  7</t>
  </si>
  <si>
    <t>Total Quantité</t>
  </si>
  <si>
    <t>Chantier</t>
  </si>
  <si>
    <t>Fabrication</t>
  </si>
  <si>
    <t>06</t>
  </si>
  <si>
    <t>07</t>
  </si>
  <si>
    <t>08</t>
  </si>
  <si>
    <t>09</t>
  </si>
  <si>
    <t>10</t>
  </si>
  <si>
    <t>11</t>
  </si>
  <si>
    <t>12</t>
  </si>
  <si>
    <t>13</t>
  </si>
  <si>
    <t>14</t>
  </si>
  <si>
    <t>15</t>
  </si>
  <si>
    <t>16</t>
  </si>
  <si>
    <t>17</t>
  </si>
  <si>
    <t>18</t>
  </si>
  <si>
    <t>19</t>
  </si>
  <si>
    <t>20</t>
  </si>
  <si>
    <t>7 + 16 + 25</t>
  </si>
  <si>
    <r>
      <rPr>
        <b/>
        <sz val="10"/>
        <rFont val="Arial"/>
        <family val="2"/>
      </rPr>
      <t>14</t>
    </r>
    <r>
      <rPr>
        <sz val="10"/>
        <rFont val="Arial"/>
        <family val="2"/>
      </rPr>
      <t xml:space="preserve"> = 1 x 13</t>
    </r>
  </si>
  <si>
    <r>
      <rPr>
        <b/>
        <sz val="10"/>
        <rFont val="Arial"/>
        <family val="2"/>
      </rPr>
      <t xml:space="preserve">13 </t>
    </r>
    <r>
      <rPr>
        <sz val="10"/>
        <rFont val="Arial"/>
        <family val="2"/>
      </rPr>
      <t>= 8x(coef)</t>
    </r>
  </si>
  <si>
    <r>
      <rPr>
        <b/>
        <sz val="10"/>
        <rFont val="Arial"/>
        <family val="2"/>
      </rPr>
      <t>3</t>
    </r>
    <r>
      <rPr>
        <sz val="10"/>
        <rFont val="Arial"/>
        <family val="2"/>
      </rPr>
      <t xml:space="preserve"> = 2xCHM</t>
    </r>
  </si>
  <si>
    <r>
      <t xml:space="preserve">5 </t>
    </r>
    <r>
      <rPr>
        <sz val="10"/>
        <rFont val="Arial"/>
        <family val="2"/>
      </rPr>
      <t>= 4xCHM</t>
    </r>
  </si>
  <si>
    <r>
      <rPr>
        <b/>
        <sz val="10"/>
        <rFont val="Arial"/>
        <family val="2"/>
      </rPr>
      <t>7</t>
    </r>
    <r>
      <rPr>
        <sz val="10"/>
        <rFont val="Arial"/>
        <family val="2"/>
      </rPr>
      <t xml:space="preserve"> = SDU</t>
    </r>
  </si>
  <si>
    <r>
      <t xml:space="preserve">6 </t>
    </r>
    <r>
      <rPr>
        <sz val="10"/>
        <rFont val="Arial"/>
        <family val="2"/>
      </rPr>
      <t>= SDU</t>
    </r>
  </si>
  <si>
    <r>
      <rPr>
        <b/>
        <sz val="10"/>
        <rFont val="Arial"/>
        <family val="2"/>
      </rPr>
      <t>8</t>
    </r>
    <r>
      <rPr>
        <sz val="10"/>
        <rFont val="Arial"/>
        <family val="2"/>
      </rPr>
      <t xml:space="preserve"> = 3+5+6+7</t>
    </r>
  </si>
  <si>
    <r>
      <rPr>
        <b/>
        <sz val="10"/>
        <rFont val="Arial"/>
        <family val="2"/>
      </rPr>
      <t>9</t>
    </r>
    <r>
      <rPr>
        <sz val="10"/>
        <rFont val="Arial"/>
        <family val="2"/>
      </rPr>
      <t xml:space="preserve"> = 1x8</t>
    </r>
  </si>
  <si>
    <r>
      <rPr>
        <b/>
        <sz val="10"/>
        <rFont val="Arial"/>
        <family val="2"/>
      </rPr>
      <t>10</t>
    </r>
    <r>
      <rPr>
        <sz val="10"/>
        <rFont val="Arial"/>
        <family val="2"/>
      </rPr>
      <t xml:space="preserve"> = 1x6</t>
    </r>
  </si>
  <si>
    <r>
      <rPr>
        <b/>
        <sz val="10"/>
        <rFont val="Arial"/>
        <family val="2"/>
      </rPr>
      <t>11</t>
    </r>
    <r>
      <rPr>
        <sz val="10"/>
        <rFont val="Arial"/>
        <family val="2"/>
      </rPr>
      <t xml:space="preserve"> = 6x7</t>
    </r>
  </si>
  <si>
    <r>
      <rPr>
        <b/>
        <sz val="10"/>
        <rFont val="Arial"/>
        <family val="2"/>
      </rPr>
      <t>12</t>
    </r>
    <r>
      <rPr>
        <sz val="10"/>
        <rFont val="Arial"/>
        <family val="2"/>
      </rPr>
      <t xml:space="preserve"> = 1x(2+4)</t>
    </r>
  </si>
  <si>
    <t>Montant
4 x 7</t>
  </si>
  <si>
    <t>Montant 
4 x 5</t>
  </si>
  <si>
    <t>COEFFICIENT MULTIPLICATEUR</t>
  </si>
  <si>
    <t>Valeurs</t>
  </si>
  <si>
    <t>Application</t>
  </si>
  <si>
    <t>Déboursés secs :</t>
  </si>
  <si>
    <t>PV HT</t>
  </si>
  <si>
    <t>Somme % PV HT</t>
  </si>
  <si>
    <t>Déboursés Totaux :</t>
  </si>
  <si>
    <t>DS</t>
  </si>
  <si>
    <t>DT</t>
  </si>
  <si>
    <t>PR</t>
  </si>
  <si>
    <t>Frais de marché :</t>
  </si>
  <si>
    <t>Somme % PR</t>
  </si>
  <si>
    <t>Prix de revient entreprise :</t>
  </si>
  <si>
    <t>Prix de vente HT :</t>
  </si>
  <si>
    <t>Somme % PV HT 2</t>
  </si>
  <si>
    <t>FC</t>
  </si>
  <si>
    <r>
      <t xml:space="preserve">Coefficient de vente = </t>
    </r>
    <r>
      <rPr>
        <sz val="10"/>
        <color indexed="10"/>
        <rFont val="Arial"/>
        <family val="2"/>
      </rPr>
      <t>P.V/D.S</t>
    </r>
    <r>
      <rPr>
        <sz val="10"/>
        <rFont val="Arial"/>
        <family val="2"/>
      </rPr>
      <t xml:space="preserve"> :</t>
    </r>
  </si>
  <si>
    <t>Somme % DT 2</t>
  </si>
  <si>
    <t>Somme % PR 2</t>
  </si>
  <si>
    <t>Le Belloy</t>
  </si>
  <si>
    <t>FEUILLE DE VENTE</t>
  </si>
  <si>
    <t xml:space="preserve">Rédacteur </t>
  </si>
  <si>
    <t>en % du DT H.T.</t>
  </si>
  <si>
    <t>en valeur H.T.</t>
  </si>
  <si>
    <t>MARGE BRUTE</t>
  </si>
  <si>
    <t>verification</t>
  </si>
  <si>
    <t>prix de vente m3 de beton</t>
  </si>
  <si>
    <t xml:space="preserve">Rédacteur :  RENARD Henri    TSEC 4 22                         </t>
  </si>
  <si>
    <t>P 37</t>
  </si>
  <si>
    <t xml:space="preserve"> en % du DT H.T.</t>
  </si>
  <si>
    <t>etude B.A en % du PV H.T.</t>
  </si>
  <si>
    <t>prix vente total ht</t>
  </si>
  <si>
    <t>prix vente total ttc</t>
  </si>
  <si>
    <r>
      <t xml:space="preserve">Saisir 1% dans une cellule on copie la cellule  </t>
    </r>
    <r>
      <rPr>
        <sz val="11"/>
        <color rgb="FFFF0000"/>
        <rFont val="Calibri"/>
        <family val="2"/>
      </rPr>
      <t>Ctrl+c</t>
    </r>
  </si>
  <si>
    <r>
      <t>On séléctionne les nombre à convertir en pourcentge on utilise le raccourci</t>
    </r>
    <r>
      <rPr>
        <sz val="11"/>
        <color rgb="FFFF0000"/>
        <rFont val="Calibri"/>
        <family val="2"/>
      </rPr>
      <t xml:space="preserve"> Ctrl+Alt+v</t>
    </r>
  </si>
  <si>
    <r>
      <t xml:space="preserve">La fenêtre Collage spécial on coche </t>
    </r>
    <r>
      <rPr>
        <sz val="11"/>
        <color rgb="FFFF0000"/>
        <rFont val="Calibri"/>
        <family val="2"/>
      </rPr>
      <t xml:space="preserve">la case multiplication </t>
    </r>
    <r>
      <rPr>
        <sz val="11"/>
        <rFont val="Calibri"/>
        <family val="2"/>
      </rPr>
      <t>et on clique sur</t>
    </r>
    <r>
      <rPr>
        <sz val="11"/>
        <color rgb="FFFF0000"/>
        <rFont val="Calibri"/>
        <family val="2"/>
      </rPr>
      <t xml:space="preserve"> OK</t>
    </r>
  </si>
  <si>
    <t>Titre de l'ouvrage :</t>
  </si>
  <si>
    <t>Unité :</t>
  </si>
  <si>
    <t>Location matériel</t>
  </si>
  <si>
    <t xml:space="preserve">     Total matériel</t>
  </si>
  <si>
    <t>Heures</t>
  </si>
  <si>
    <t>P.M.H.</t>
  </si>
  <si>
    <t>Total déboursé sec unitaire</t>
  </si>
  <si>
    <t xml:space="preserve">     Total fournitures</t>
  </si>
  <si>
    <t xml:space="preserve">     Total main d'œuvre</t>
  </si>
  <si>
    <t>100/(100-(15+5)) x 15</t>
  </si>
  <si>
    <t>% / DT</t>
  </si>
  <si>
    <t>Bénéfice : 5% du prix de vente</t>
  </si>
  <si>
    <t>100/(100-5) x 5</t>
  </si>
  <si>
    <t>% / PR</t>
  </si>
  <si>
    <t>Frais généraux :15% du prix de vente</t>
  </si>
  <si>
    <t>Coefficcient de vente</t>
  </si>
  <si>
    <t>m³ x La densité = Le Tonne</t>
  </si>
  <si>
    <t>Doublage Optima 13 + 140 mm</t>
  </si>
  <si>
    <t>Doublage collé Prégyplaque 10 + 120 mm</t>
  </si>
  <si>
    <t>BA13 collé sur maçonnerie</t>
  </si>
  <si>
    <t>Plus-value hydrofuge</t>
  </si>
  <si>
    <t>Plaque de plâtre BA13</t>
  </si>
  <si>
    <t>Isolant GR32 ép. 140mm</t>
  </si>
  <si>
    <t>Lisse basse et haute (Rail 4m)</t>
  </si>
  <si>
    <t>Membrane d'étanchéité</t>
  </si>
  <si>
    <t>Fourrure 3m</t>
  </si>
  <si>
    <t>Vis TF 45mm</t>
  </si>
  <si>
    <t>Appui intermédiaire Optima</t>
  </si>
  <si>
    <t>Bande à joint</t>
  </si>
  <si>
    <t>Adhésif type Vario</t>
  </si>
  <si>
    <t>Enduit pour joints</t>
  </si>
  <si>
    <t>Eclisse (rallonge)</t>
  </si>
  <si>
    <t>1,20 x 2,50 =</t>
  </si>
  <si>
    <t>1,20 x 5,20 =</t>
  </si>
  <si>
    <t>9,60 / 3 m² =</t>
  </si>
  <si>
    <t>€/m²</t>
  </si>
  <si>
    <t>24 / 6,24 m² =</t>
  </si>
  <si>
    <t>3,20 / 4 =</t>
  </si>
  <si>
    <t>3,30 / 3 =</t>
  </si>
  <si>
    <t>38 / 50 =</t>
  </si>
  <si>
    <t>15 / 150 =</t>
  </si>
  <si>
    <t>12 / 1000 =</t>
  </si>
  <si>
    <t>12 / 50 =</t>
  </si>
  <si>
    <t>16 / 20 =</t>
  </si>
  <si>
    <t>25 / 25 =</t>
  </si>
  <si>
    <t>Lisse périphérique (Rail 4m)</t>
  </si>
  <si>
    <t>Suspente</t>
  </si>
  <si>
    <t>Isolant laine de verre ép 300mm</t>
  </si>
  <si>
    <t>1,20 x 3,80 =</t>
  </si>
  <si>
    <t xml:space="preserve">m² </t>
  </si>
  <si>
    <t>41 / 4,56 =</t>
  </si>
  <si>
    <t>12 /50 =</t>
  </si>
  <si>
    <t>Plaque de prégystyrène ép. 10 + 120mm</t>
  </si>
  <si>
    <t>Prégycolle</t>
  </si>
  <si>
    <t>15,60 / 3 m² =</t>
  </si>
  <si>
    <t>10 / 20 =</t>
  </si>
  <si>
    <t>16,50 / 3 m² =</t>
  </si>
  <si>
    <t>Différence plaque hydrofugée</t>
  </si>
  <si>
    <t>Béton de propreté ép. 5 cm sous semelles filantes</t>
  </si>
  <si>
    <t>Plancher poutrelles+hourdis béton</t>
  </si>
  <si>
    <t>Planelles de rives de plancher</t>
  </si>
  <si>
    <t>Chaînage en béton armé dans l'épaisseur du plancher</t>
  </si>
  <si>
    <t>Gros béton pour massifs de fondation</t>
  </si>
  <si>
    <t>Semelles isolées en béton armé</t>
  </si>
  <si>
    <t xml:space="preserve">Agglos creux ép. 20cm, maçonnés au mortier bâtard </t>
  </si>
  <si>
    <t>Béton centrale pour gros béton et béton de propreté</t>
  </si>
  <si>
    <t>Coulage du béton de propreté</t>
  </si>
  <si>
    <t>Béton centrale semelles filantes</t>
  </si>
  <si>
    <t>Aciers HA pour semelles filantes</t>
  </si>
  <si>
    <t>Coffrage amortissement semelles filantes</t>
  </si>
  <si>
    <t>Semelles filantes 50 x 20 en béton armé compris coffrage</t>
  </si>
  <si>
    <t>Coffrage pour semelles filantes</t>
  </si>
  <si>
    <t>Armatures pour semelles filantes</t>
  </si>
  <si>
    <t>Coulage des semelles filantes</t>
  </si>
  <si>
    <t>Pose des poutrelles hourdis</t>
  </si>
  <si>
    <t>Plancher poutrelle hourdis béton</t>
  </si>
  <si>
    <t>Béton centrale pour planchers</t>
  </si>
  <si>
    <t>Aciers HA pour plancher</t>
  </si>
  <si>
    <t>Aciers TS pour plancher</t>
  </si>
  <si>
    <t>Coffrage amortissement rives de dalle</t>
  </si>
  <si>
    <t>Armatures plancher HA</t>
  </si>
  <si>
    <t>Armatures plancher TS</t>
  </si>
  <si>
    <t>Coulage du plancher</t>
  </si>
  <si>
    <t>Agglos 5x20x50 (planelle)</t>
  </si>
  <si>
    <t>Mortier pose planelles (10 l/ml)</t>
  </si>
  <si>
    <t>Aciers HA pour chaînages horizontaux</t>
  </si>
  <si>
    <t>Coulage de chaînage dans l'ép. du plancher</t>
  </si>
  <si>
    <t>Armatures de plancher</t>
  </si>
  <si>
    <t>Béton centrale pour gros béton</t>
  </si>
  <si>
    <t>Coulage gros béton</t>
  </si>
  <si>
    <t>Béton centrale semelles isolées</t>
  </si>
  <si>
    <t>Aciers HA pour semelles isolées</t>
  </si>
  <si>
    <t>Coffrage amortissement semelles isolées</t>
  </si>
  <si>
    <t>Coffrage semelles isolées</t>
  </si>
  <si>
    <t>Armatures semelles isolées</t>
  </si>
  <si>
    <t>Coulage semelles isolées</t>
  </si>
  <si>
    <t>Agglomérés 20x20x50</t>
  </si>
  <si>
    <t>Mortier pose agglos</t>
  </si>
  <si>
    <t xml:space="preserve">Pose d'agglos </t>
  </si>
  <si>
    <t>Mortier 150 kg</t>
  </si>
  <si>
    <t>Mortier 300 kg</t>
  </si>
  <si>
    <t xml:space="preserve">BA13 </t>
  </si>
  <si>
    <t>Isolant 140mm</t>
  </si>
  <si>
    <t>Lisse</t>
  </si>
  <si>
    <t>Adhésif</t>
  </si>
  <si>
    <t>Fourrure</t>
  </si>
  <si>
    <t>Vis</t>
  </si>
  <si>
    <t>Appui</t>
  </si>
  <si>
    <t>Enduit</t>
  </si>
  <si>
    <t>Eclisse</t>
  </si>
  <si>
    <t xml:space="preserve">Suspente </t>
  </si>
  <si>
    <t>38 / 250 =</t>
  </si>
  <si>
    <t>Prégycolle 120</t>
  </si>
  <si>
    <t>Bande pour joint</t>
  </si>
  <si>
    <t>Faux plafond ossature métallique</t>
  </si>
  <si>
    <t>Isolation plafond 300 mm</t>
  </si>
  <si>
    <t>Bénéfice : 8% du prix de vente</t>
  </si>
  <si>
    <t>100/(100-8) x 8</t>
  </si>
  <si>
    <t>Mairie de Sainte-Croix</t>
  </si>
  <si>
    <t>Sable</t>
  </si>
  <si>
    <t xml:space="preserve">Sable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</si>
</sst>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6" formatCode="#,##0\ &quot;€&quot;;[Red]\-#,##0\ &quot;€&quot;"/>
    <numFmt numFmtId="8" formatCode="#,##0.00\ &quot;€&quot;;[Red]\-#,##0.00\ &quot;€&quot;"/>
    <numFmt numFmtId="44" formatCode="_-* #,##0.00\ &quot;€&quot;_-;\-* #,##0.00\ &quot;€&quot;_-;_-* &quot;-&quot;??\ &quot;€&quot;_-;_-@_-"/>
    <numFmt numFmtId="43" formatCode="_-* #,##0.00_-;\-* #,##0.00_-;_-* &quot;-&quot;??_-;_-@_-"/>
    <numFmt numFmtId="164" formatCode="0.0000"/>
    <numFmt numFmtId="165" formatCode="#,##0.00\ &quot;€&quot;"/>
    <numFmt numFmtId="166" formatCode="0.000"/>
    <numFmt numFmtId="167" formatCode="_-* #,##0.00\ [$€-40C]_-;\-* #,##0.00\ [$€-40C]_-;_-* &quot;-&quot;??\ [$€-40C]_-;_-@_-"/>
    <numFmt numFmtId="168" formatCode="0.0"/>
    <numFmt numFmtId="169" formatCode="_-* #,##0.00\ _€_-;\-* #,##0.00\ _€_-;_-* &quot;-&quot;??\ _€_-;_-@_-"/>
    <numFmt numFmtId="170" formatCode="_-* #,##0.00\ _F_-;\-* #,##0.00\ _F_-;_-* &quot;-&quot;??\ _F_-;_-@_-"/>
    <numFmt numFmtId="171" formatCode="_-* #,##0.00\ [$€]_-;\-* #,##0.00\ [$€]_-;_-* &quot;-&quot;??\ [$€]_-;_-@_-"/>
    <numFmt numFmtId="172" formatCode="#,##0.00_ ;\-#,##0.00\ "/>
    <numFmt numFmtId="173" formatCode="0.0000%"/>
    <numFmt numFmtId="174" formatCode="0.000%"/>
    <numFmt numFmtId="175" formatCode="#,##0.0000\ &quot;€&quot;"/>
    <numFmt numFmtId="176" formatCode="#,##0.0000"/>
    <numFmt numFmtId="177" formatCode="0.0%"/>
    <numFmt numFmtId="178" formatCode="_-* #,##0.000\ _€_-;\-* #,##0.000\ _€_-;_-* &quot;-&quot;??\ _€_-;_-@_-"/>
    <numFmt numFmtId="179" formatCode="_-* #,##0.000\ _F_-;\-* #,##0.000\ _F_-;_-* &quot;-&quot;??\ _F_-;_-@_-"/>
  </numFmts>
  <fonts count="96" x14ac:knownFonts="1">
    <font>
      <sz val="11"/>
      <color theme="1"/>
      <name val="Aptos Narrow"/>
      <family val="2"/>
      <scheme val="minor"/>
    </font>
    <font>
      <sz val="11"/>
      <color theme="1"/>
      <name val="Aptos Narrow"/>
      <family val="2"/>
      <scheme val="minor"/>
    </font>
    <font>
      <sz val="11"/>
      <color theme="1"/>
      <name val="Aptos Narrow"/>
      <family val="2"/>
    </font>
    <font>
      <sz val="12"/>
      <color theme="1"/>
      <name val="Calibri"/>
      <family val="2"/>
    </font>
    <font>
      <b/>
      <sz val="12"/>
      <name val="Calibri"/>
      <family val="2"/>
    </font>
    <font>
      <b/>
      <sz val="12"/>
      <color rgb="FFFF0000"/>
      <name val="Calibri"/>
      <family val="2"/>
    </font>
    <font>
      <sz val="11"/>
      <color theme="1"/>
      <name val="Calibri"/>
      <family val="2"/>
    </font>
    <font>
      <b/>
      <sz val="12"/>
      <color theme="1"/>
      <name val="Calibri"/>
      <family val="2"/>
    </font>
    <font>
      <sz val="8"/>
      <name val="Aptos Narrow"/>
      <family val="2"/>
      <scheme val="minor"/>
    </font>
    <font>
      <b/>
      <sz val="14"/>
      <name val="Calibri"/>
      <family val="2"/>
    </font>
    <font>
      <sz val="12"/>
      <name val="Calibri"/>
      <family val="2"/>
    </font>
    <font>
      <b/>
      <sz val="14"/>
      <color theme="1"/>
      <name val="Aptos Narrow"/>
      <family val="2"/>
      <scheme val="minor"/>
    </font>
    <font>
      <sz val="12"/>
      <color theme="1"/>
      <name val="Aptos Narrow"/>
      <family val="2"/>
      <scheme val="minor"/>
    </font>
    <font>
      <b/>
      <sz val="12"/>
      <color theme="1"/>
      <name val="Aptos Narrow"/>
      <family val="2"/>
      <scheme val="minor"/>
    </font>
    <font>
      <sz val="20"/>
      <color theme="1"/>
      <name val="Calibri"/>
      <family val="2"/>
    </font>
    <font>
      <b/>
      <sz val="11"/>
      <color theme="1"/>
      <name val="Calibri"/>
      <family val="2"/>
    </font>
    <font>
      <b/>
      <sz val="14"/>
      <color theme="1"/>
      <name val="Calibri"/>
      <family val="2"/>
    </font>
    <font>
      <sz val="11"/>
      <color rgb="FFFF0000"/>
      <name val="Calibri"/>
      <family val="2"/>
    </font>
    <font>
      <sz val="11"/>
      <color rgb="FFFF0000"/>
      <name val="Aptos Narrow"/>
      <family val="2"/>
    </font>
    <font>
      <sz val="10"/>
      <name val="Arial"/>
      <family val="2"/>
    </font>
    <font>
      <b/>
      <sz val="10"/>
      <name val="Arial"/>
      <family val="2"/>
    </font>
    <font>
      <sz val="8"/>
      <name val="Arial"/>
      <family val="2"/>
    </font>
    <font>
      <sz val="12"/>
      <name val="Arial"/>
      <family val="2"/>
    </font>
    <font>
      <sz val="10"/>
      <name val="MS Sans Serif"/>
    </font>
    <font>
      <sz val="10"/>
      <name val="Arial"/>
      <family val="2"/>
    </font>
    <font>
      <b/>
      <sz val="11"/>
      <name val="Arial"/>
      <family val="2"/>
    </font>
    <font>
      <sz val="11"/>
      <color rgb="FF000000"/>
      <name val="Calibri"/>
      <family val="2"/>
    </font>
    <font>
      <b/>
      <sz val="11"/>
      <color theme="1"/>
      <name val="Aptos Narrow"/>
      <family val="2"/>
      <scheme val="minor"/>
    </font>
    <font>
      <sz val="10"/>
      <name val="Times New Roman"/>
      <family val="1"/>
      <charset val="204"/>
    </font>
    <font>
      <sz val="10"/>
      <color indexed="8"/>
      <name val="Arial"/>
      <family val="2"/>
    </font>
    <font>
      <sz val="10"/>
      <color indexed="8"/>
      <name val="Trebuchet MS"/>
      <family val="2"/>
    </font>
    <font>
      <b/>
      <sz val="18"/>
      <color theme="1"/>
      <name val="Calibri"/>
      <family val="2"/>
    </font>
    <font>
      <sz val="11"/>
      <color rgb="FF0070C0"/>
      <name val="Calibri"/>
      <family val="2"/>
    </font>
    <font>
      <b/>
      <sz val="12"/>
      <name val="Arial"/>
      <family val="2"/>
    </font>
    <font>
      <b/>
      <vertAlign val="superscript"/>
      <sz val="12"/>
      <name val="Calibri"/>
      <family val="2"/>
    </font>
    <font>
      <b/>
      <sz val="12"/>
      <color rgb="FF00B050"/>
      <name val="Calibri"/>
      <family val="2"/>
    </font>
    <font>
      <b/>
      <sz val="11"/>
      <color rgb="FF00B050"/>
      <name val="Calibri"/>
      <family val="2"/>
    </font>
    <font>
      <sz val="12"/>
      <color rgb="FFFF0000"/>
      <name val="Calibri"/>
      <family val="2"/>
    </font>
    <font>
      <b/>
      <sz val="14"/>
      <color rgb="FFFF0000"/>
      <name val="Arial"/>
      <family val="2"/>
    </font>
    <font>
      <b/>
      <sz val="13.5"/>
      <color rgb="FFFF0000"/>
      <name val="MS Sans Serif"/>
      <family val="2"/>
    </font>
    <font>
      <sz val="11"/>
      <color theme="9" tint="-0.249977111117893"/>
      <name val="Calibri"/>
      <family val="2"/>
    </font>
    <font>
      <b/>
      <sz val="14"/>
      <color theme="9" tint="-0.249977111117893"/>
      <name val="Calibri"/>
      <family val="2"/>
    </font>
    <font>
      <sz val="10"/>
      <name val="MS Sans Serif"/>
      <family val="2"/>
    </font>
    <font>
      <b/>
      <sz val="10"/>
      <name val="MS Sans Serif"/>
    </font>
    <font>
      <b/>
      <u/>
      <sz val="10"/>
      <name val="MS Sans Serif"/>
    </font>
    <font>
      <b/>
      <sz val="16"/>
      <name val="Calibri"/>
      <family val="2"/>
    </font>
    <font>
      <sz val="14"/>
      <name val="Calibri"/>
      <family val="2"/>
    </font>
    <font>
      <b/>
      <sz val="14"/>
      <color theme="9" tint="-0.249977111117893"/>
      <name val="Aptos Narrow"/>
      <family val="2"/>
      <scheme val="minor"/>
    </font>
    <font>
      <sz val="14"/>
      <color theme="1"/>
      <name val="Calibri"/>
      <family val="2"/>
    </font>
    <font>
      <sz val="11"/>
      <color rgb="FFC00000"/>
      <name val="Calibri"/>
      <family val="2"/>
    </font>
    <font>
      <sz val="12"/>
      <color theme="0"/>
      <name val="Calibri"/>
      <family val="2"/>
    </font>
    <font>
      <b/>
      <sz val="12"/>
      <color theme="9" tint="-0.499984740745262"/>
      <name val="Calibri"/>
      <family val="2"/>
    </font>
    <font>
      <b/>
      <sz val="11"/>
      <name val="Calibri"/>
      <family val="2"/>
    </font>
    <font>
      <b/>
      <sz val="10"/>
      <name val="Calibri"/>
      <family val="2"/>
    </font>
    <font>
      <sz val="10"/>
      <name val="Calibri"/>
      <family val="2"/>
    </font>
    <font>
      <b/>
      <sz val="10"/>
      <color rgb="FF00B050"/>
      <name val="Calibri"/>
      <family val="2"/>
    </font>
    <font>
      <b/>
      <sz val="36"/>
      <color theme="1"/>
      <name val="Calibri"/>
      <family val="2"/>
    </font>
    <font>
      <b/>
      <sz val="36"/>
      <name val="Calibri"/>
      <family val="2"/>
    </font>
    <font>
      <sz val="24"/>
      <color rgb="FFFF0000"/>
      <name val="Aptos Narrow"/>
      <family val="2"/>
      <scheme val="minor"/>
    </font>
    <font>
      <sz val="14"/>
      <color theme="1"/>
      <name val="Aptos Narrow"/>
      <family val="2"/>
      <scheme val="minor"/>
    </font>
    <font>
      <b/>
      <i/>
      <sz val="20"/>
      <color rgb="FFFF0000"/>
      <name val="Aptos Narrow"/>
      <family val="2"/>
      <scheme val="minor"/>
    </font>
    <font>
      <b/>
      <i/>
      <u/>
      <sz val="12"/>
      <color rgb="FF7030A0"/>
      <name val="Aptos Narrow"/>
      <family val="2"/>
      <scheme val="minor"/>
    </font>
    <font>
      <b/>
      <sz val="16"/>
      <color theme="1"/>
      <name val="Aptos Narrow"/>
      <family val="2"/>
      <scheme val="minor"/>
    </font>
    <font>
      <b/>
      <i/>
      <sz val="12"/>
      <color theme="1"/>
      <name val="Aptos Narrow"/>
      <family val="2"/>
      <scheme val="minor"/>
    </font>
    <font>
      <sz val="10"/>
      <color theme="1"/>
      <name val="Aptos Narrow"/>
      <family val="2"/>
      <scheme val="minor"/>
    </font>
    <font>
      <b/>
      <i/>
      <sz val="22"/>
      <color rgb="FFC00000"/>
      <name val="Aptos Narrow"/>
      <family val="2"/>
      <scheme val="minor"/>
    </font>
    <font>
      <b/>
      <i/>
      <sz val="18"/>
      <color rgb="FF7030A0"/>
      <name val="Aptos Narrow"/>
      <family val="2"/>
      <scheme val="minor"/>
    </font>
    <font>
      <b/>
      <sz val="20"/>
      <color rgb="FFFF0000"/>
      <name val="Aptos Narrow"/>
      <family val="2"/>
      <scheme val="minor"/>
    </font>
    <font>
      <b/>
      <u/>
      <sz val="12"/>
      <color theme="1"/>
      <name val="Aptos Narrow"/>
      <family val="2"/>
      <scheme val="minor"/>
    </font>
    <font>
      <b/>
      <sz val="12"/>
      <color rgb="FFFF0000"/>
      <name val="Aptos Narrow"/>
      <family val="2"/>
      <scheme val="minor"/>
    </font>
    <font>
      <b/>
      <i/>
      <u/>
      <sz val="12"/>
      <color theme="1"/>
      <name val="Aptos Narrow"/>
      <family val="2"/>
      <scheme val="minor"/>
    </font>
    <font>
      <b/>
      <i/>
      <sz val="11"/>
      <color theme="1"/>
      <name val="Aptos Narrow"/>
      <family val="2"/>
      <scheme val="minor"/>
    </font>
    <font>
      <b/>
      <i/>
      <u/>
      <sz val="11"/>
      <color theme="1"/>
      <name val="Aptos Narrow"/>
      <family val="2"/>
      <scheme val="minor"/>
    </font>
    <font>
      <b/>
      <sz val="11"/>
      <color rgb="FFC00000"/>
      <name val="Aptos Narrow"/>
      <family val="2"/>
      <scheme val="minor"/>
    </font>
    <font>
      <b/>
      <sz val="14"/>
      <color rgb="FFC00000"/>
      <name val="Aptos Narrow"/>
      <family val="2"/>
      <scheme val="minor"/>
    </font>
    <font>
      <b/>
      <sz val="14"/>
      <color rgb="FF0070C0"/>
      <name val="Aptos Narrow"/>
      <family val="2"/>
      <scheme val="minor"/>
    </font>
    <font>
      <sz val="22"/>
      <color theme="1"/>
      <name val="Aptos Narrow"/>
      <family val="2"/>
      <scheme val="minor"/>
    </font>
    <font>
      <sz val="36"/>
      <color theme="1"/>
      <name val="Aptos Narrow"/>
      <family val="2"/>
      <scheme val="minor"/>
    </font>
    <font>
      <b/>
      <i/>
      <sz val="14"/>
      <color rgb="FF00B050"/>
      <name val="Aptos Narrow"/>
      <family val="2"/>
      <scheme val="minor"/>
    </font>
    <font>
      <b/>
      <sz val="14"/>
      <color rgb="FF7030A0"/>
      <name val="Aptos Narrow"/>
      <family val="2"/>
      <scheme val="minor"/>
    </font>
    <font>
      <b/>
      <sz val="14"/>
      <color theme="1" tint="0.34998626667073579"/>
      <name val="Aptos Narrow"/>
      <family val="2"/>
      <scheme val="minor"/>
    </font>
    <font>
      <b/>
      <sz val="14"/>
      <color rgb="FFFF0000"/>
      <name val="Aptos Narrow"/>
      <family val="2"/>
      <scheme val="minor"/>
    </font>
    <font>
      <b/>
      <i/>
      <sz val="14"/>
      <color theme="1"/>
      <name val="Aptos Narrow"/>
      <family val="2"/>
      <scheme val="minor"/>
    </font>
    <font>
      <b/>
      <u/>
      <sz val="11"/>
      <color theme="1"/>
      <name val="Aptos Narrow"/>
      <family val="2"/>
      <scheme val="minor"/>
    </font>
    <font>
      <sz val="11"/>
      <color rgb="FFC00000"/>
      <name val="Aptos Narrow"/>
      <family val="2"/>
      <scheme val="minor"/>
    </font>
    <font>
      <b/>
      <sz val="11"/>
      <color rgb="FF0070C0"/>
      <name val="Aptos Narrow"/>
      <family val="2"/>
      <scheme val="minor"/>
    </font>
    <font>
      <b/>
      <i/>
      <u/>
      <sz val="11"/>
      <color rgb="FFFF0000"/>
      <name val="Aptos Narrow"/>
      <family val="2"/>
      <scheme val="minor"/>
    </font>
    <font>
      <b/>
      <i/>
      <u/>
      <sz val="12"/>
      <color rgb="FFFF0000"/>
      <name val="Aptos Narrow"/>
      <family val="2"/>
      <scheme val="minor"/>
    </font>
    <font>
      <b/>
      <sz val="18"/>
      <color theme="3"/>
      <name val="Times New Roman"/>
      <family val="1"/>
    </font>
    <font>
      <sz val="16"/>
      <name val="Arial"/>
      <family val="2"/>
    </font>
    <font>
      <sz val="10"/>
      <color indexed="10"/>
      <name val="Arial"/>
      <family val="2"/>
    </font>
    <font>
      <i/>
      <sz val="10"/>
      <name val="Arial"/>
      <family val="2"/>
    </font>
    <font>
      <sz val="11"/>
      <name val="Calibri"/>
      <family val="2"/>
    </font>
    <font>
      <sz val="11"/>
      <color rgb="FFFF0000"/>
      <name val="Aptos Narrow"/>
      <family val="2"/>
      <scheme val="minor"/>
    </font>
    <font>
      <sz val="11"/>
      <color rgb="FF00B050"/>
      <name val="Calibri"/>
      <family val="2"/>
    </font>
    <font>
      <b/>
      <sz val="9"/>
      <name val="Calibri"/>
      <family val="2"/>
      <charset val="1"/>
    </font>
  </fonts>
  <fills count="32">
    <fill>
      <patternFill patternType="none"/>
    </fill>
    <fill>
      <patternFill patternType="gray125"/>
    </fill>
    <fill>
      <patternFill patternType="solid">
        <fgColor theme="0" tint="-0.499984740745262"/>
        <bgColor indexed="64"/>
      </patternFill>
    </fill>
    <fill>
      <patternFill patternType="solid">
        <fgColor theme="4" tint="0.39997558519241921"/>
        <bgColor indexed="64"/>
      </patternFill>
    </fill>
    <fill>
      <patternFill patternType="solid">
        <fgColor rgb="FFFFC000"/>
        <bgColor indexed="64"/>
      </patternFill>
    </fill>
    <fill>
      <patternFill patternType="solid">
        <fgColor theme="9" tint="-0.249977111117893"/>
        <bgColor indexed="64"/>
      </patternFill>
    </fill>
    <fill>
      <patternFill patternType="solid">
        <fgColor rgb="FFFFFF00"/>
        <bgColor indexed="64"/>
      </patternFill>
    </fill>
    <fill>
      <patternFill patternType="solid">
        <fgColor theme="2" tint="-0.249977111117893"/>
        <bgColor indexed="64"/>
      </patternFill>
    </fill>
    <fill>
      <patternFill patternType="solid">
        <fgColor indexed="22"/>
        <bgColor indexed="64"/>
      </patternFill>
    </fill>
    <fill>
      <patternFill patternType="solid">
        <fgColor theme="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rgb="FFFFFFCC"/>
        <bgColor indexed="64"/>
      </patternFill>
    </fill>
    <fill>
      <patternFill patternType="solid">
        <fgColor rgb="FF99FFCC"/>
        <bgColor indexed="64"/>
      </patternFill>
    </fill>
    <fill>
      <patternFill patternType="solid">
        <fgColor rgb="FF92D050"/>
        <bgColor indexed="64"/>
      </patternFill>
    </fill>
    <fill>
      <patternFill patternType="solid">
        <fgColor rgb="FFCCFFCC"/>
        <bgColor indexed="64"/>
      </patternFill>
    </fill>
    <fill>
      <patternFill patternType="solid">
        <fgColor rgb="FFFFCC99"/>
        <bgColor indexed="64"/>
      </patternFill>
    </fill>
    <fill>
      <patternFill patternType="solid">
        <fgColor rgb="FFCCECFF"/>
        <bgColor indexed="64"/>
      </patternFill>
    </fill>
    <fill>
      <patternFill patternType="solid">
        <fgColor rgb="FFFFCCFF"/>
        <bgColor indexed="64"/>
      </patternFill>
    </fill>
    <fill>
      <patternFill patternType="solid">
        <fgColor theme="0" tint="-0.14999847407452621"/>
        <bgColor indexed="64"/>
      </patternFill>
    </fill>
    <fill>
      <patternFill patternType="solid">
        <fgColor theme="0"/>
        <bgColor indexed="64"/>
      </patternFill>
    </fill>
  </fills>
  <borders count="182">
    <border>
      <left/>
      <right/>
      <top/>
      <bottom/>
      <diagonal/>
    </border>
    <border>
      <left style="thick">
        <color indexed="64"/>
      </left>
      <right style="thick">
        <color indexed="64"/>
      </right>
      <top style="hair">
        <color indexed="64"/>
      </top>
      <bottom style="hair">
        <color indexed="64"/>
      </bottom>
      <diagonal/>
    </border>
    <border>
      <left style="thick">
        <color indexed="64"/>
      </left>
      <right style="thick">
        <color indexed="64"/>
      </right>
      <top/>
      <bottom style="hair">
        <color indexed="64"/>
      </bottom>
      <diagonal/>
    </border>
    <border>
      <left style="thick">
        <color indexed="64"/>
      </left>
      <right style="thick">
        <color indexed="64"/>
      </right>
      <top style="hair">
        <color indexed="64"/>
      </top>
      <bottom style="thick">
        <color indexed="64"/>
      </bottom>
      <diagonal/>
    </border>
    <border>
      <left/>
      <right style="thick">
        <color indexed="64"/>
      </right>
      <top style="thick">
        <color indexed="64"/>
      </top>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right style="medium">
        <color indexed="64"/>
      </right>
      <top style="thick">
        <color indexed="64"/>
      </top>
      <bottom style="thick">
        <color indexed="64"/>
      </bottom>
      <diagonal/>
    </border>
    <border>
      <left/>
      <right style="thick">
        <color indexed="64"/>
      </right>
      <top/>
      <bottom style="hair">
        <color indexed="64"/>
      </bottom>
      <diagonal/>
    </border>
    <border>
      <left style="thick">
        <color indexed="64"/>
      </left>
      <right/>
      <top/>
      <bottom style="thick">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thick">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style="thin">
        <color indexed="64"/>
      </right>
      <top/>
      <bottom style="thin">
        <color indexed="64"/>
      </bottom>
      <diagonal/>
    </border>
    <border>
      <left/>
      <right/>
      <top/>
      <bottom style="thick">
        <color indexed="64"/>
      </bottom>
      <diagonal/>
    </border>
    <border>
      <left style="thin">
        <color indexed="64"/>
      </left>
      <right style="thick">
        <color indexed="64"/>
      </right>
      <top/>
      <bottom/>
      <diagonal/>
    </border>
    <border>
      <left style="thin">
        <color indexed="64"/>
      </left>
      <right style="thick">
        <color indexed="64"/>
      </right>
      <top style="thin">
        <color indexed="64"/>
      </top>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bottom style="thin">
        <color indexed="64"/>
      </bottom>
      <diagonal/>
    </border>
    <border>
      <left style="thick">
        <color indexed="64"/>
      </left>
      <right/>
      <top/>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style="thin">
        <color indexed="64"/>
      </left>
      <right style="thin">
        <color indexed="64"/>
      </right>
      <top/>
      <bottom style="thick">
        <color indexed="64"/>
      </bottom>
      <diagonal/>
    </border>
    <border>
      <left/>
      <right style="thin">
        <color indexed="64"/>
      </right>
      <top style="thick">
        <color indexed="64"/>
      </top>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ck">
        <color indexed="64"/>
      </right>
      <top style="thick">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top style="thin">
        <color indexed="64"/>
      </top>
      <bottom style="thick">
        <color indexed="64"/>
      </bottom>
      <diagonal/>
    </border>
    <border>
      <left style="thick">
        <color indexed="64"/>
      </left>
      <right style="thick">
        <color indexed="64"/>
      </right>
      <top style="medium">
        <color indexed="64"/>
      </top>
      <bottom style="thick">
        <color indexed="64"/>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ck">
        <color indexed="64"/>
      </left>
      <right style="thin">
        <color indexed="64"/>
      </right>
      <top/>
      <bottom style="medium">
        <color indexed="64"/>
      </bottom>
      <diagonal/>
    </border>
    <border>
      <left/>
      <right style="thick">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dotted">
        <color indexed="64"/>
      </bottom>
      <diagonal/>
    </border>
    <border>
      <left style="thick">
        <color indexed="64"/>
      </left>
      <right style="thin">
        <color indexed="64"/>
      </right>
      <top/>
      <bottom style="dotted">
        <color indexed="64"/>
      </bottom>
      <diagonal/>
    </border>
    <border>
      <left/>
      <right style="thick">
        <color indexed="64"/>
      </right>
      <top/>
      <bottom style="dotted">
        <color indexed="64"/>
      </bottom>
      <diagonal/>
    </border>
    <border>
      <left/>
      <right style="thin">
        <color indexed="64"/>
      </right>
      <top style="dotted">
        <color indexed="64"/>
      </top>
      <bottom style="thick">
        <color indexed="64"/>
      </bottom>
      <diagonal/>
    </border>
    <border>
      <left style="thin">
        <color indexed="64"/>
      </left>
      <right style="thick">
        <color indexed="64"/>
      </right>
      <top style="dotted">
        <color indexed="64"/>
      </top>
      <bottom style="thick">
        <color indexed="64"/>
      </bottom>
      <diagonal/>
    </border>
    <border>
      <left style="thick">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thin">
        <color indexed="64"/>
      </top>
      <bottom style="medium">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diagonal/>
    </border>
    <border>
      <left style="thick">
        <color indexed="64"/>
      </left>
      <right style="thick">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medium">
        <color indexed="64"/>
      </left>
      <right/>
      <top/>
      <bottom style="medium">
        <color indexed="64"/>
      </bottom>
      <diagonal/>
    </border>
    <border>
      <left style="thick">
        <color rgb="FFC00000"/>
      </left>
      <right/>
      <top/>
      <bottom style="thick">
        <color rgb="FFC00000"/>
      </bottom>
      <diagonal/>
    </border>
    <border>
      <left/>
      <right/>
      <top/>
      <bottom style="thick">
        <color rgb="FFC00000"/>
      </bottom>
      <diagonal/>
    </border>
    <border>
      <left/>
      <right style="thick">
        <color rgb="FFC00000"/>
      </right>
      <top/>
      <bottom style="thick">
        <color rgb="FFC00000"/>
      </bottom>
      <diagonal/>
    </border>
    <border>
      <left style="medium">
        <color indexed="64"/>
      </left>
      <right style="medium">
        <color indexed="64"/>
      </right>
      <top/>
      <bottom style="medium">
        <color indexed="64"/>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right style="thin">
        <color indexed="64"/>
      </right>
      <top style="hair">
        <color indexed="64"/>
      </top>
      <bottom style="hair">
        <color indexed="64"/>
      </bottom>
      <diagonal/>
    </border>
    <border>
      <left style="thin">
        <color indexed="64"/>
      </left>
      <right style="thin">
        <color indexed="64"/>
      </right>
      <top style="dotted">
        <color indexed="64"/>
      </top>
      <bottom/>
      <diagonal/>
    </border>
    <border>
      <left style="thick">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style="thin">
        <color indexed="64"/>
      </top>
      <bottom style="medium">
        <color indexed="64"/>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style="thin">
        <color indexed="64"/>
      </bottom>
      <diagonal/>
    </border>
    <border>
      <left style="thick">
        <color indexed="64"/>
      </left>
      <right style="thick">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13">
    <xf numFmtId="0" fontId="0" fillId="0" borderId="0"/>
    <xf numFmtId="43" fontId="1" fillId="0" borderId="0" applyFont="0" applyFill="0" applyBorder="0" applyAlignment="0" applyProtection="0"/>
    <xf numFmtId="0" fontId="19" fillId="0" borderId="0"/>
    <xf numFmtId="0" fontId="23" fillId="0" borderId="0"/>
    <xf numFmtId="0" fontId="24" fillId="0" borderId="0"/>
    <xf numFmtId="9" fontId="1" fillId="0" borderId="0" applyFont="0" applyFill="0" applyBorder="0" applyAlignment="0" applyProtection="0"/>
    <xf numFmtId="44" fontId="1"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1" fontId="19" fillId="0" borderId="0" applyFont="0" applyFill="0" applyBorder="0" applyAlignment="0" applyProtection="0"/>
    <xf numFmtId="0" fontId="19" fillId="0" borderId="0"/>
    <xf numFmtId="0" fontId="19" fillId="0" borderId="0"/>
    <xf numFmtId="0" fontId="19" fillId="0" borderId="0"/>
  </cellStyleXfs>
  <cellXfs count="1572">
    <xf numFmtId="0" fontId="0" fillId="0" borderId="0" xfId="0"/>
    <xf numFmtId="0" fontId="0" fillId="0" borderId="4" xfId="0" applyBorder="1"/>
    <xf numFmtId="0" fontId="0" fillId="0" borderId="5" xfId="0" applyBorder="1"/>
    <xf numFmtId="0" fontId="3" fillId="0" borderId="1" xfId="0" applyFont="1" applyBorder="1"/>
    <xf numFmtId="0" fontId="3" fillId="0" borderId="3" xfId="0" applyFont="1" applyBorder="1"/>
    <xf numFmtId="0" fontId="4" fillId="0" borderId="9" xfId="0" applyFont="1" applyBorder="1" applyAlignment="1">
      <alignment horizontal="left" vertical="center"/>
    </xf>
    <xf numFmtId="14" fontId="4" fillId="0" borderId="4" xfId="0" applyNumberFormat="1" applyFont="1" applyBorder="1" applyAlignment="1">
      <alignment horizontal="center" vertical="center"/>
    </xf>
    <xf numFmtId="0" fontId="4" fillId="0" borderId="14" xfId="0" applyFont="1" applyBorder="1" applyAlignment="1">
      <alignment horizontal="center" vertical="center"/>
    </xf>
    <xf numFmtId="0" fontId="4" fillId="0" borderId="6" xfId="0" applyFont="1" applyBorder="1" applyAlignment="1">
      <alignment horizontal="center" vertical="center"/>
    </xf>
    <xf numFmtId="0" fontId="4" fillId="0" borderId="16" xfId="0" applyFont="1" applyBorder="1" applyAlignment="1">
      <alignment horizontal="center" vertical="center"/>
    </xf>
    <xf numFmtId="0" fontId="4" fillId="0" borderId="7" xfId="0" applyFont="1" applyBorder="1" applyAlignment="1">
      <alignment horizontal="center" vertical="center"/>
    </xf>
    <xf numFmtId="0" fontId="7" fillId="0" borderId="3" xfId="0" applyFont="1" applyBorder="1" applyAlignment="1">
      <alignment horizontal="center" vertical="center"/>
    </xf>
    <xf numFmtId="0" fontId="4" fillId="0" borderId="14" xfId="0" applyFont="1" applyBorder="1" applyAlignment="1">
      <alignment horizontal="left" vertical="center"/>
    </xf>
    <xf numFmtId="0" fontId="4" fillId="0" borderId="13" xfId="0" applyFont="1" applyBorder="1" applyAlignment="1">
      <alignment horizontal="right"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2" fontId="3" fillId="0" borderId="1" xfId="0" applyNumberFormat="1" applyFont="1" applyBorder="1" applyAlignment="1">
      <alignment horizontal="center" vertical="center"/>
    </xf>
    <xf numFmtId="166" fontId="3" fillId="0" borderId="1" xfId="0" applyNumberFormat="1" applyFont="1" applyBorder="1" applyAlignment="1">
      <alignment horizontal="center" vertical="center"/>
    </xf>
    <xf numFmtId="164" fontId="5" fillId="0" borderId="14" xfId="1" applyNumberFormat="1" applyFont="1" applyBorder="1" applyAlignment="1">
      <alignment horizontal="left" vertical="center"/>
    </xf>
    <xf numFmtId="2" fontId="3" fillId="0" borderId="2" xfId="0" applyNumberFormat="1" applyFont="1" applyBorder="1" applyAlignment="1">
      <alignment horizontal="center" vertical="center"/>
    </xf>
    <xf numFmtId="0" fontId="6" fillId="0" borderId="0" xfId="0" applyFont="1"/>
    <xf numFmtId="0" fontId="10" fillId="0" borderId="0" xfId="0" applyFont="1" applyProtection="1">
      <protection hidden="1"/>
    </xf>
    <xf numFmtId="0" fontId="3" fillId="0" borderId="0" xfId="0" applyFont="1" applyProtection="1">
      <protection hidden="1"/>
    </xf>
    <xf numFmtId="167" fontId="3" fillId="0" borderId="28" xfId="0" applyNumberFormat="1" applyFont="1" applyBorder="1" applyProtection="1">
      <protection hidden="1"/>
    </xf>
    <xf numFmtId="166" fontId="3" fillId="0" borderId="0" xfId="0" applyNumberFormat="1" applyFont="1" applyAlignment="1" applyProtection="1">
      <alignment horizontal="right"/>
      <protection hidden="1"/>
    </xf>
    <xf numFmtId="167" fontId="3" fillId="0" borderId="28" xfId="0" applyNumberFormat="1" applyFont="1" applyBorder="1" applyAlignment="1" applyProtection="1">
      <alignment horizontal="center"/>
      <protection hidden="1"/>
    </xf>
    <xf numFmtId="167" fontId="3" fillId="0" borderId="29" xfId="0" applyNumberFormat="1" applyFont="1" applyBorder="1" applyProtection="1">
      <protection hidden="1"/>
    </xf>
    <xf numFmtId="0" fontId="4" fillId="0" borderId="0" xfId="0" applyFont="1" applyProtection="1">
      <protection hidden="1"/>
    </xf>
    <xf numFmtId="2" fontId="3" fillId="0" borderId="0" xfId="0" applyNumberFormat="1" applyFont="1" applyAlignment="1" applyProtection="1">
      <alignment horizontal="center"/>
      <protection hidden="1"/>
    </xf>
    <xf numFmtId="2" fontId="4" fillId="0" borderId="0" xfId="0" applyNumberFormat="1" applyFont="1" applyAlignment="1" applyProtection="1">
      <alignment horizontal="center"/>
      <protection hidden="1"/>
    </xf>
    <xf numFmtId="2" fontId="10" fillId="0" borderId="0" xfId="0" applyNumberFormat="1" applyFont="1" applyAlignment="1" applyProtection="1">
      <alignment horizontal="center"/>
      <protection hidden="1"/>
    </xf>
    <xf numFmtId="2" fontId="3" fillId="0" borderId="0" xfId="0" applyNumberFormat="1" applyFont="1" applyProtection="1">
      <protection locked="0"/>
    </xf>
    <xf numFmtId="0" fontId="12" fillId="0" borderId="0" xfId="0" applyFont="1"/>
    <xf numFmtId="0" fontId="13" fillId="0" borderId="0" xfId="0" applyFont="1"/>
    <xf numFmtId="0" fontId="3" fillId="0" borderId="0" xfId="0" applyFont="1" applyAlignment="1">
      <alignment vertical="center"/>
    </xf>
    <xf numFmtId="2" fontId="7" fillId="0" borderId="1" xfId="0" applyNumberFormat="1" applyFont="1" applyBorder="1" applyAlignment="1">
      <alignment horizontal="center" vertical="center"/>
    </xf>
    <xf numFmtId="0" fontId="4" fillId="0" borderId="9" xfId="0" applyFont="1" applyBorder="1" applyAlignment="1">
      <alignment horizontal="right" vertical="center"/>
    </xf>
    <xf numFmtId="0" fontId="3" fillId="0" borderId="0" xfId="0" applyFont="1" applyAlignment="1">
      <alignment horizontal="left" vertical="center" indent="1"/>
    </xf>
    <xf numFmtId="0" fontId="3" fillId="0" borderId="0" xfId="0" applyFont="1"/>
    <xf numFmtId="0" fontId="6" fillId="0" borderId="0" xfId="0" applyFont="1" applyAlignment="1">
      <alignment horizontal="center" vertical="center"/>
    </xf>
    <xf numFmtId="0" fontId="6" fillId="3" borderId="0" xfId="0" applyFont="1" applyFill="1"/>
    <xf numFmtId="0" fontId="6" fillId="0" borderId="0" xfId="0" applyFont="1" applyAlignment="1">
      <alignment horizontal="center"/>
    </xf>
    <xf numFmtId="0" fontId="15" fillId="0" borderId="0" xfId="0" applyFont="1" applyAlignment="1">
      <alignment horizontal="justify" vertical="center"/>
    </xf>
    <xf numFmtId="0" fontId="6" fillId="0" borderId="0" xfId="0" applyFont="1" applyAlignment="1">
      <alignment horizontal="left" vertical="center" indent="1"/>
    </xf>
    <xf numFmtId="0" fontId="15"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4" xfId="0" applyFont="1" applyBorder="1" applyAlignment="1">
      <alignment horizontal="center" vertical="center" wrapText="1"/>
    </xf>
    <xf numFmtId="0" fontId="6" fillId="0" borderId="46" xfId="0" applyFont="1" applyBorder="1" applyAlignment="1">
      <alignment horizontal="center" vertical="center" wrapText="1"/>
    </xf>
    <xf numFmtId="49" fontId="6" fillId="5" borderId="0" xfId="0" applyNumberFormat="1" applyFont="1" applyFill="1" applyAlignment="1">
      <alignment horizontal="center"/>
    </xf>
    <xf numFmtId="0" fontId="6" fillId="6" borderId="0" xfId="0" applyFont="1" applyFill="1" applyAlignment="1">
      <alignment horizontal="center"/>
    </xf>
    <xf numFmtId="0" fontId="6" fillId="0" borderId="53" xfId="0" applyFont="1" applyBorder="1"/>
    <xf numFmtId="0" fontId="6" fillId="0" borderId="6" xfId="0" applyFont="1" applyBorder="1" applyAlignment="1">
      <alignment horizontal="center" vertical="center"/>
    </xf>
    <xf numFmtId="165" fontId="6" fillId="0" borderId="43" xfId="0" applyNumberFormat="1" applyFont="1" applyBorder="1" applyAlignment="1">
      <alignment horizontal="center" vertical="center"/>
    </xf>
    <xf numFmtId="165" fontId="6" fillId="0" borderId="44" xfId="0" applyNumberFormat="1" applyFont="1" applyBorder="1" applyAlignment="1">
      <alignment horizontal="center" vertical="center"/>
    </xf>
    <xf numFmtId="0" fontId="6" fillId="0" borderId="56" xfId="0" applyFont="1" applyBorder="1" applyAlignment="1">
      <alignment horizontal="center" vertical="center"/>
    </xf>
    <xf numFmtId="0" fontId="6" fillId="0" borderId="57" xfId="0" applyFont="1" applyBorder="1" applyAlignment="1">
      <alignment horizontal="center" vertical="center"/>
    </xf>
    <xf numFmtId="49" fontId="6" fillId="0" borderId="46" xfId="0" applyNumberFormat="1" applyFont="1" applyBorder="1" applyAlignment="1">
      <alignment horizontal="center" vertical="center"/>
    </xf>
    <xf numFmtId="49" fontId="6" fillId="0" borderId="58" xfId="0" applyNumberFormat="1" applyFont="1" applyBorder="1" applyAlignment="1">
      <alignment horizontal="center" vertical="center"/>
    </xf>
    <xf numFmtId="0" fontId="6" fillId="0" borderId="59" xfId="0" applyFont="1" applyBorder="1" applyAlignment="1">
      <alignment horizontal="center" vertical="center"/>
    </xf>
    <xf numFmtId="0" fontId="6" fillId="0" borderId="47" xfId="0" applyFont="1" applyBorder="1" applyAlignment="1">
      <alignment horizontal="center" vertical="center"/>
    </xf>
    <xf numFmtId="165" fontId="6" fillId="0" borderId="4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4" xfId="0" applyFont="1" applyBorder="1" applyAlignment="1">
      <alignment horizontal="center" vertical="center" wrapText="1"/>
    </xf>
    <xf numFmtId="1" fontId="3" fillId="0" borderId="0" xfId="0" applyNumberFormat="1" applyFont="1" applyProtection="1">
      <protection locked="0"/>
    </xf>
    <xf numFmtId="0" fontId="15" fillId="0" borderId="6" xfId="0" applyFont="1" applyBorder="1" applyAlignment="1">
      <alignment horizontal="center" vertical="center" wrapText="1"/>
    </xf>
    <xf numFmtId="0" fontId="6" fillId="0" borderId="26" xfId="0" applyFont="1" applyBorder="1" applyAlignment="1">
      <alignment horizontal="center" vertical="center"/>
    </xf>
    <xf numFmtId="0" fontId="6" fillId="0" borderId="0" xfId="0" applyFont="1" applyAlignment="1">
      <alignment horizontal="left"/>
    </xf>
    <xf numFmtId="0" fontId="19" fillId="0" borderId="0" xfId="2" applyProtection="1">
      <protection hidden="1"/>
    </xf>
    <xf numFmtId="0" fontId="19" fillId="0" borderId="26" xfId="2" applyBorder="1" applyProtection="1">
      <protection hidden="1"/>
    </xf>
    <xf numFmtId="8" fontId="6" fillId="0" borderId="47" xfId="0" applyNumberFormat="1" applyFont="1" applyBorder="1" applyAlignment="1">
      <alignment horizontal="center" vertical="center" wrapText="1"/>
    </xf>
    <xf numFmtId="8" fontId="6" fillId="0" borderId="46" xfId="0" applyNumberFormat="1" applyFont="1" applyBorder="1" applyAlignment="1">
      <alignment horizontal="center" vertical="center" wrapText="1"/>
    </xf>
    <xf numFmtId="8" fontId="6" fillId="0" borderId="58" xfId="0" applyNumberFormat="1" applyFont="1" applyBorder="1" applyAlignment="1">
      <alignment horizontal="center" vertical="center" wrapText="1"/>
    </xf>
    <xf numFmtId="0" fontId="19" fillId="0" borderId="60" xfId="2" applyBorder="1" applyProtection="1">
      <protection hidden="1"/>
    </xf>
    <xf numFmtId="0" fontId="6" fillId="0" borderId="5" xfId="0" applyFont="1" applyBorder="1"/>
    <xf numFmtId="0" fontId="6" fillId="0" borderId="60" xfId="0" applyFont="1" applyBorder="1"/>
    <xf numFmtId="0" fontId="19" fillId="0" borderId="18" xfId="2" applyBorder="1" applyProtection="1">
      <protection hidden="1"/>
    </xf>
    <xf numFmtId="0" fontId="19" fillId="0" borderId="53" xfId="2" applyBorder="1" applyProtection="1">
      <protection hidden="1"/>
    </xf>
    <xf numFmtId="0" fontId="6" fillId="0" borderId="10" xfId="0" applyFont="1" applyBorder="1"/>
    <xf numFmtId="0" fontId="19" fillId="0" borderId="62" xfId="2" applyBorder="1" applyProtection="1">
      <protection hidden="1"/>
    </xf>
    <xf numFmtId="0" fontId="6" fillId="0" borderId="61" xfId="0" applyFont="1" applyBorder="1"/>
    <xf numFmtId="0" fontId="6" fillId="0" borderId="63" xfId="0" applyFont="1" applyBorder="1"/>
    <xf numFmtId="0" fontId="19" fillId="0" borderId="56" xfId="2" applyBorder="1" applyProtection="1">
      <protection hidden="1"/>
    </xf>
    <xf numFmtId="0" fontId="6" fillId="0" borderId="20" xfId="0" applyFont="1" applyBorder="1"/>
    <xf numFmtId="0" fontId="6" fillId="0" borderId="43" xfId="0" applyFont="1" applyBorder="1"/>
    <xf numFmtId="0" fontId="19" fillId="0" borderId="59" xfId="2" applyBorder="1" applyProtection="1">
      <protection hidden="1"/>
    </xf>
    <xf numFmtId="0" fontId="6" fillId="0" borderId="26" xfId="0" applyFont="1" applyBorder="1"/>
    <xf numFmtId="0" fontId="6" fillId="0" borderId="42" xfId="0" applyFont="1" applyBorder="1"/>
    <xf numFmtId="0" fontId="6" fillId="0" borderId="59" xfId="0" applyFont="1" applyBorder="1"/>
    <xf numFmtId="0" fontId="19" fillId="0" borderId="20" xfId="2" applyBorder="1" applyProtection="1">
      <protection hidden="1"/>
    </xf>
    <xf numFmtId="2" fontId="19" fillId="0" borderId="20" xfId="2" applyNumberFormat="1" applyBorder="1" applyProtection="1">
      <protection locked="0"/>
    </xf>
    <xf numFmtId="0" fontId="20" fillId="0" borderId="62" xfId="2" applyFont="1" applyBorder="1" applyProtection="1">
      <protection hidden="1"/>
    </xf>
    <xf numFmtId="0" fontId="20" fillId="0" borderId="60" xfId="2" applyFont="1" applyBorder="1" applyProtection="1">
      <protection hidden="1"/>
    </xf>
    <xf numFmtId="0" fontId="21" fillId="0" borderId="0" xfId="0" applyFont="1"/>
    <xf numFmtId="0" fontId="21" fillId="0" borderId="0" xfId="0" applyFont="1" applyAlignment="1">
      <alignment vertical="center"/>
    </xf>
    <xf numFmtId="0" fontId="22" fillId="8" borderId="64" xfId="0" applyFont="1" applyFill="1" applyBorder="1" applyAlignment="1">
      <alignment horizontal="center" vertical="center"/>
    </xf>
    <xf numFmtId="0" fontId="22" fillId="0" borderId="0" xfId="0" applyFont="1" applyAlignment="1">
      <alignment vertical="center"/>
    </xf>
    <xf numFmtId="0" fontId="22" fillId="0" borderId="0" xfId="0" applyFont="1"/>
    <xf numFmtId="0" fontId="22" fillId="0" borderId="64" xfId="0" applyFont="1" applyBorder="1" applyAlignment="1">
      <alignment horizontal="center" vertical="center"/>
    </xf>
    <xf numFmtId="0" fontId="22" fillId="0" borderId="0" xfId="0" applyFont="1" applyAlignment="1">
      <alignment horizontal="center"/>
    </xf>
    <xf numFmtId="0" fontId="24" fillId="0" borderId="68" xfId="4" applyBorder="1" applyAlignment="1">
      <alignment horizontal="center"/>
    </xf>
    <xf numFmtId="0" fontId="20" fillId="0" borderId="68" xfId="4" applyFont="1" applyBorder="1" applyAlignment="1">
      <alignment horizontal="center"/>
    </xf>
    <xf numFmtId="0" fontId="24" fillId="0" borderId="64" xfId="4" applyBorder="1" applyAlignment="1">
      <alignment horizontal="center" vertical="center"/>
    </xf>
    <xf numFmtId="2" fontId="20" fillId="9" borderId="68" xfId="4" applyNumberFormat="1" applyFont="1" applyFill="1" applyBorder="1" applyAlignment="1">
      <alignment vertical="center"/>
    </xf>
    <xf numFmtId="0" fontId="20" fillId="9" borderId="64" xfId="4" applyFont="1" applyFill="1" applyBorder="1" applyAlignment="1">
      <alignment horizontal="center"/>
    </xf>
    <xf numFmtId="0" fontId="20" fillId="0" borderId="64" xfId="4" applyFont="1" applyBorder="1" applyAlignment="1">
      <alignment horizontal="center" vertical="center"/>
    </xf>
    <xf numFmtId="2" fontId="20" fillId="9" borderId="68" xfId="4" applyNumberFormat="1" applyFont="1" applyFill="1" applyBorder="1" applyAlignment="1">
      <alignment horizontal="center"/>
    </xf>
    <xf numFmtId="0" fontId="4" fillId="0" borderId="8" xfId="0" applyFont="1" applyBorder="1" applyAlignment="1" applyProtection="1">
      <alignment horizontal="right" vertical="center"/>
      <protection locked="0"/>
    </xf>
    <xf numFmtId="2" fontId="25" fillId="0" borderId="6" xfId="4" applyNumberFormat="1" applyFont="1" applyBorder="1" applyAlignment="1">
      <alignment horizontal="center" vertical="center"/>
    </xf>
    <xf numFmtId="0" fontId="4" fillId="0" borderId="9" xfId="0" applyFont="1" applyBorder="1" applyAlignment="1" applyProtection="1">
      <alignment horizontal="right" vertical="center"/>
      <protection hidden="1"/>
    </xf>
    <xf numFmtId="14" fontId="4" fillId="0" borderId="4" xfId="0" applyNumberFormat="1" applyFont="1" applyBorder="1" applyAlignment="1" applyProtection="1">
      <alignment horizontal="center" vertical="center"/>
      <protection hidden="1"/>
    </xf>
    <xf numFmtId="0" fontId="6" fillId="0" borderId="0" xfId="0" applyFont="1" applyAlignment="1">
      <alignment horizontal="left" vertical="center"/>
    </xf>
    <xf numFmtId="0" fontId="26" fillId="0" borderId="0" xfId="0" applyFont="1"/>
    <xf numFmtId="0" fontId="6" fillId="0" borderId="0" xfId="0" applyFont="1" applyAlignment="1">
      <alignment vertical="center"/>
    </xf>
    <xf numFmtId="0" fontId="6" fillId="0" borderId="0" xfId="0" applyFont="1" applyAlignment="1">
      <alignment horizontal="center" vertical="center" wrapText="1"/>
    </xf>
    <xf numFmtId="0" fontId="6" fillId="0" borderId="26" xfId="0" applyFont="1" applyBorder="1" applyAlignment="1">
      <alignment horizontal="center" vertical="center" wrapText="1"/>
    </xf>
    <xf numFmtId="0" fontId="6" fillId="0" borderId="0" xfId="0" applyFont="1" applyAlignment="1">
      <alignment vertical="center" wrapText="1"/>
    </xf>
    <xf numFmtId="0" fontId="2" fillId="0" borderId="0" xfId="0" applyFont="1"/>
    <xf numFmtId="166" fontId="6" fillId="0" borderId="0" xfId="0" applyNumberFormat="1" applyFont="1" applyAlignment="1">
      <alignment vertical="center"/>
    </xf>
    <xf numFmtId="166" fontId="6" fillId="0" borderId="0" xfId="0" applyNumberFormat="1" applyFont="1"/>
    <xf numFmtId="0" fontId="15" fillId="0" borderId="0" xfId="0" applyFont="1"/>
    <xf numFmtId="0" fontId="27" fillId="0" borderId="85" xfId="0" applyFont="1" applyBorder="1"/>
    <xf numFmtId="0" fontId="27" fillId="0" borderId="86" xfId="0" applyFont="1" applyBorder="1"/>
    <xf numFmtId="0" fontId="27" fillId="0" borderId="89" xfId="0" applyFont="1" applyBorder="1"/>
    <xf numFmtId="0" fontId="27" fillId="0" borderId="65" xfId="0" applyFont="1" applyBorder="1"/>
    <xf numFmtId="0" fontId="27" fillId="0" borderId="64" xfId="0" applyFont="1" applyBorder="1"/>
    <xf numFmtId="0" fontId="27" fillId="0" borderId="49" xfId="0" applyFont="1" applyBorder="1"/>
    <xf numFmtId="2" fontId="27" fillId="0" borderId="90" xfId="0" applyNumberFormat="1" applyFont="1" applyBorder="1"/>
    <xf numFmtId="0" fontId="11" fillId="0" borderId="26" xfId="0" applyFont="1" applyBorder="1" applyAlignment="1">
      <alignment horizontal="left" vertical="top"/>
    </xf>
    <xf numFmtId="0" fontId="11" fillId="0" borderId="68" xfId="0" applyFont="1" applyBorder="1" applyAlignment="1">
      <alignment horizontal="left" vertical="top"/>
    </xf>
    <xf numFmtId="0" fontId="11" fillId="0" borderId="27" xfId="0" applyFont="1" applyBorder="1" applyAlignment="1">
      <alignment horizontal="left" vertical="top"/>
    </xf>
    <xf numFmtId="0" fontId="13" fillId="0" borderId="64" xfId="0" applyFont="1" applyBorder="1"/>
    <xf numFmtId="0" fontId="13" fillId="0" borderId="49" xfId="0" applyFont="1" applyBorder="1"/>
    <xf numFmtId="0" fontId="13" fillId="0" borderId="52" xfId="0" applyFont="1" applyBorder="1" applyAlignment="1">
      <alignment horizontal="left" vertical="top"/>
    </xf>
    <xf numFmtId="0" fontId="0" fillId="0" borderId="48" xfId="0" applyBorder="1"/>
    <xf numFmtId="0" fontId="0" fillId="0" borderId="64" xfId="0" applyBorder="1"/>
    <xf numFmtId="0" fontId="0" fillId="0" borderId="68" xfId="0" applyBorder="1"/>
    <xf numFmtId="0" fontId="0" fillId="0" borderId="49" xfId="0" applyBorder="1"/>
    <xf numFmtId="0" fontId="0" fillId="0" borderId="92" xfId="0" applyBorder="1"/>
    <xf numFmtId="0" fontId="0" fillId="0" borderId="93" xfId="0" applyBorder="1"/>
    <xf numFmtId="0" fontId="0" fillId="0" borderId="31" xfId="0" applyBorder="1"/>
    <xf numFmtId="0" fontId="27" fillId="0" borderId="68" xfId="0" applyFont="1" applyBorder="1" applyAlignment="1">
      <alignment horizontal="left"/>
    </xf>
    <xf numFmtId="0" fontId="27" fillId="0" borderId="67" xfId="0" applyFont="1" applyBorder="1" applyAlignment="1">
      <alignment horizontal="left"/>
    </xf>
    <xf numFmtId="0" fontId="27" fillId="0" borderId="79" xfId="0" applyFont="1" applyBorder="1" applyAlignment="1">
      <alignment horizontal="left"/>
    </xf>
    <xf numFmtId="2" fontId="0" fillId="0" borderId="64" xfId="0" applyNumberFormat="1" applyBorder="1"/>
    <xf numFmtId="2" fontId="0" fillId="0" borderId="90" xfId="0" applyNumberFormat="1" applyBorder="1"/>
    <xf numFmtId="2" fontId="27" fillId="0" borderId="89" xfId="0" applyNumberFormat="1" applyFont="1" applyBorder="1"/>
    <xf numFmtId="2" fontId="0" fillId="0" borderId="68" xfId="0" applyNumberFormat="1" applyBorder="1"/>
    <xf numFmtId="2" fontId="13" fillId="0" borderId="88" xfId="0" applyNumberFormat="1" applyFont="1" applyBorder="1"/>
    <xf numFmtId="2" fontId="13" fillId="0" borderId="90" xfId="0" applyNumberFormat="1" applyFont="1" applyBorder="1"/>
    <xf numFmtId="2" fontId="13" fillId="0" borderId="81" xfId="0" applyNumberFormat="1" applyFont="1" applyBorder="1"/>
    <xf numFmtId="0" fontId="7" fillId="0" borderId="0" xfId="0" applyFont="1"/>
    <xf numFmtId="0" fontId="30" fillId="0" borderId="99" xfId="0" applyFont="1" applyBorder="1" applyAlignment="1">
      <alignment horizontal="center" vertical="top" wrapText="1"/>
    </xf>
    <xf numFmtId="0" fontId="30" fillId="0" borderId="100" xfId="0" applyFont="1" applyBorder="1" applyAlignment="1">
      <alignment horizontal="center" vertical="top" wrapText="1"/>
    </xf>
    <xf numFmtId="0" fontId="30" fillId="0" borderId="101" xfId="0" applyFont="1" applyBorder="1" applyAlignment="1">
      <alignment horizontal="center" vertical="top" wrapText="1"/>
    </xf>
    <xf numFmtId="0" fontId="28" fillId="0" borderId="101" xfId="0" applyFont="1" applyBorder="1" applyAlignment="1">
      <alignment horizontal="left" wrapText="1"/>
    </xf>
    <xf numFmtId="1" fontId="29" fillId="0" borderId="101" xfId="0" applyNumberFormat="1" applyFont="1" applyBorder="1" applyAlignment="1">
      <alignment horizontal="center" vertical="top" shrinkToFit="1"/>
    </xf>
    <xf numFmtId="2" fontId="29" fillId="0" borderId="101" xfId="0" applyNumberFormat="1" applyFont="1" applyBorder="1" applyAlignment="1">
      <alignment horizontal="center" vertical="top" shrinkToFit="1"/>
    </xf>
    <xf numFmtId="168" fontId="29" fillId="0" borderId="101" xfId="0" applyNumberFormat="1" applyFont="1" applyBorder="1" applyAlignment="1">
      <alignment horizontal="center" vertical="top" shrinkToFit="1"/>
    </xf>
    <xf numFmtId="9" fontId="6" fillId="0" borderId="26" xfId="0" applyNumberFormat="1" applyFont="1" applyBorder="1" applyAlignment="1">
      <alignment horizontal="center" vertical="center"/>
    </xf>
    <xf numFmtId="0" fontId="7" fillId="0" borderId="64" xfId="0" applyFont="1" applyBorder="1"/>
    <xf numFmtId="0" fontId="7" fillId="0" borderId="26" xfId="0" applyFont="1" applyBorder="1" applyAlignment="1">
      <alignment horizontal="left" vertical="top"/>
    </xf>
    <xf numFmtId="0" fontId="7" fillId="0" borderId="68" xfId="0" applyFont="1" applyBorder="1" applyAlignment="1">
      <alignment horizontal="left" vertical="top"/>
    </xf>
    <xf numFmtId="0" fontId="7" fillId="0" borderId="27" xfId="0" applyFont="1" applyBorder="1" applyAlignment="1">
      <alignment horizontal="left" vertical="top"/>
    </xf>
    <xf numFmtId="0" fontId="3" fillId="0" borderId="68" xfId="0" applyFont="1" applyBorder="1"/>
    <xf numFmtId="0" fontId="3" fillId="0" borderId="64" xfId="0" applyFont="1" applyBorder="1"/>
    <xf numFmtId="2" fontId="3" fillId="0" borderId="64" xfId="0" applyNumberFormat="1" applyFont="1" applyBorder="1"/>
    <xf numFmtId="0" fontId="3" fillId="0" borderId="92" xfId="0" applyFont="1" applyBorder="1"/>
    <xf numFmtId="2" fontId="3" fillId="0" borderId="68" xfId="0" applyNumberFormat="1" applyFont="1" applyBorder="1"/>
    <xf numFmtId="0" fontId="7" fillId="0" borderId="68" xfId="0" applyFont="1" applyBorder="1" applyAlignment="1">
      <alignment horizontal="left"/>
    </xf>
    <xf numFmtId="0" fontId="7" fillId="0" borderId="67" xfId="0" applyFont="1" applyBorder="1" applyAlignment="1">
      <alignment horizontal="left"/>
    </xf>
    <xf numFmtId="0" fontId="7" fillId="0" borderId="64" xfId="0" applyFont="1" applyBorder="1" applyAlignment="1">
      <alignment horizontal="center" vertical="center" wrapText="1"/>
    </xf>
    <xf numFmtId="0" fontId="7" fillId="0" borderId="35" xfId="0" applyFont="1" applyBorder="1"/>
    <xf numFmtId="0" fontId="7" fillId="0" borderId="35" xfId="0" applyFont="1" applyBorder="1" applyAlignment="1">
      <alignment horizontal="center" vertical="center" wrapText="1"/>
    </xf>
    <xf numFmtId="0" fontId="7" fillId="0" borderId="39" xfId="0" applyFont="1" applyBorder="1" applyAlignment="1">
      <alignment horizontal="left" vertical="center"/>
    </xf>
    <xf numFmtId="0" fontId="3" fillId="0" borderId="34" xfId="0" applyFont="1" applyBorder="1" applyAlignment="1">
      <alignment horizontal="left" vertical="center"/>
    </xf>
    <xf numFmtId="0" fontId="3" fillId="0" borderId="35" xfId="0" applyFont="1" applyBorder="1"/>
    <xf numFmtId="0" fontId="3" fillId="0" borderId="55" xfId="0" applyFont="1" applyBorder="1"/>
    <xf numFmtId="0" fontId="7" fillId="0" borderId="39" xfId="0" applyFont="1" applyBorder="1" applyAlignment="1">
      <alignment horizontal="left" vertical="center" wrapText="1"/>
    </xf>
    <xf numFmtId="0" fontId="7" fillId="0" borderId="39" xfId="0" applyFont="1" applyBorder="1" applyAlignment="1">
      <alignment horizontal="left" vertical="top"/>
    </xf>
    <xf numFmtId="0" fontId="3" fillId="0" borderId="38" xfId="0" applyFont="1" applyBorder="1"/>
    <xf numFmtId="2" fontId="7" fillId="0" borderId="37" xfId="0" applyNumberFormat="1" applyFont="1" applyBorder="1"/>
    <xf numFmtId="14" fontId="4" fillId="0" borderId="63" xfId="0" applyNumberFormat="1" applyFont="1" applyBorder="1" applyAlignment="1" applyProtection="1">
      <alignment horizontal="left" vertical="center"/>
      <protection hidden="1"/>
    </xf>
    <xf numFmtId="0" fontId="7" fillId="0" borderId="62" xfId="0" applyFont="1" applyBorder="1" applyAlignment="1">
      <alignment horizontal="left" vertical="center" wrapText="1"/>
    </xf>
    <xf numFmtId="0" fontId="7" fillId="0" borderId="103" xfId="0" applyFont="1" applyBorder="1" applyAlignment="1">
      <alignment horizontal="center"/>
    </xf>
    <xf numFmtId="0" fontId="7" fillId="0" borderId="29" xfId="0" applyFont="1" applyBorder="1" applyAlignment="1">
      <alignment horizontal="left" vertical="center" wrapText="1"/>
    </xf>
    <xf numFmtId="0" fontId="0" fillId="0" borderId="34" xfId="0" applyBorder="1"/>
    <xf numFmtId="2" fontId="3" fillId="0" borderId="38" xfId="0" applyNumberFormat="1" applyFont="1" applyBorder="1"/>
    <xf numFmtId="2" fontId="3" fillId="0" borderId="6" xfId="0" applyNumberFormat="1" applyFont="1" applyBorder="1" applyAlignment="1">
      <alignment horizontal="center" vertical="center"/>
    </xf>
    <xf numFmtId="2" fontId="3" fillId="0" borderId="14" xfId="0" applyNumberFormat="1" applyFont="1" applyBorder="1" applyAlignment="1">
      <alignment horizontal="center" vertical="center"/>
    </xf>
    <xf numFmtId="2" fontId="3" fillId="0" borderId="106" xfId="0" applyNumberFormat="1" applyFont="1" applyBorder="1" applyAlignment="1">
      <alignment horizontal="center" vertical="center"/>
    </xf>
    <xf numFmtId="2" fontId="3" fillId="0" borderId="107" xfId="0" applyNumberFormat="1" applyFont="1" applyBorder="1" applyAlignment="1">
      <alignment horizontal="center" vertical="center"/>
    </xf>
    <xf numFmtId="2" fontId="3" fillId="0" borderId="105" xfId="0" applyNumberFormat="1" applyFont="1" applyBorder="1" applyAlignment="1">
      <alignment horizontal="center" vertical="center"/>
    </xf>
    <xf numFmtId="2" fontId="7" fillId="0" borderId="6" xfId="0" applyNumberFormat="1" applyFont="1" applyBorder="1" applyAlignment="1">
      <alignment horizontal="center" vertical="center"/>
    </xf>
    <xf numFmtId="2" fontId="7" fillId="0" borderId="10" xfId="0" applyNumberFormat="1" applyFont="1" applyBorder="1" applyAlignment="1">
      <alignment horizontal="center" vertical="center"/>
    </xf>
    <xf numFmtId="9" fontId="6" fillId="0" borderId="0" xfId="0" applyNumberFormat="1" applyFont="1" applyAlignment="1">
      <alignment horizontal="center" vertical="center"/>
    </xf>
    <xf numFmtId="0" fontId="6" fillId="0" borderId="0" xfId="0" applyFont="1" applyAlignment="1">
      <alignment horizontal="right" vertical="center"/>
    </xf>
    <xf numFmtId="0" fontId="32" fillId="0" borderId="0" xfId="0" applyFont="1"/>
    <xf numFmtId="0" fontId="3" fillId="6" borderId="0" xfId="0" applyFont="1" applyFill="1"/>
    <xf numFmtId="2" fontId="6" fillId="0" borderId="0" xfId="0" applyNumberFormat="1" applyFont="1"/>
    <xf numFmtId="2" fontId="6" fillId="0" borderId="0" xfId="0" applyNumberFormat="1" applyFont="1" applyAlignment="1">
      <alignment horizontal="right" vertical="center"/>
    </xf>
    <xf numFmtId="9" fontId="6" fillId="0" borderId="0" xfId="0" applyNumberFormat="1" applyFont="1" applyAlignment="1">
      <alignment horizontal="left" vertical="center"/>
    </xf>
    <xf numFmtId="166" fontId="10" fillId="0" borderId="64" xfId="0" applyNumberFormat="1" applyFont="1" applyBorder="1" applyAlignment="1">
      <alignment horizontal="center"/>
    </xf>
    <xf numFmtId="0" fontId="10" fillId="0" borderId="0" xfId="0" applyFont="1"/>
    <xf numFmtId="0" fontId="10" fillId="0" borderId="64" xfId="0" applyFont="1" applyBorder="1" applyAlignment="1">
      <alignment horizontal="center" vertical="center"/>
    </xf>
    <xf numFmtId="0" fontId="10" fillId="0" borderId="0" xfId="0" applyFont="1" applyAlignment="1">
      <alignment horizontal="left" vertical="center"/>
    </xf>
    <xf numFmtId="0" fontId="22" fillId="0" borderId="0" xfId="0" applyFont="1" applyAlignment="1">
      <alignment horizontal="left" vertical="center"/>
    </xf>
    <xf numFmtId="0" fontId="10" fillId="0" borderId="0" xfId="0" applyFont="1" applyAlignment="1">
      <alignment horizontal="center" vertical="center"/>
    </xf>
    <xf numFmtId="0" fontId="22" fillId="0" borderId="0" xfId="0" applyFont="1" applyAlignment="1">
      <alignment horizontal="center" vertical="center"/>
    </xf>
    <xf numFmtId="2" fontId="10" fillId="0" borderId="64" xfId="0" applyNumberFormat="1" applyFont="1" applyBorder="1" applyAlignment="1">
      <alignment horizontal="center" vertical="center"/>
    </xf>
    <xf numFmtId="0" fontId="10" fillId="0" borderId="0" xfId="0" applyFont="1" applyAlignment="1">
      <alignment horizontal="center"/>
    </xf>
    <xf numFmtId="0" fontId="7" fillId="0" borderId="13" xfId="0" applyFont="1" applyBorder="1" applyAlignment="1">
      <alignment horizontal="center" vertical="center"/>
    </xf>
    <xf numFmtId="14" fontId="4" fillId="0" borderId="14" xfId="0" applyNumberFormat="1" applyFont="1" applyBorder="1" applyAlignment="1" applyProtection="1">
      <alignment horizontal="center" vertical="center"/>
      <protection hidden="1"/>
    </xf>
    <xf numFmtId="0" fontId="10" fillId="0" borderId="34" xfId="0" applyFont="1" applyBorder="1" applyAlignment="1">
      <alignment horizontal="left" vertical="center"/>
    </xf>
    <xf numFmtId="0" fontId="10" fillId="0" borderId="36" xfId="0" applyFont="1" applyBorder="1" applyAlignment="1">
      <alignment horizontal="left" vertical="center"/>
    </xf>
    <xf numFmtId="0" fontId="10" fillId="0" borderId="75" xfId="0" applyFont="1" applyBorder="1" applyAlignment="1">
      <alignment horizontal="center" vertical="center"/>
    </xf>
    <xf numFmtId="2" fontId="10" fillId="0" borderId="68" xfId="0" applyNumberFormat="1" applyFont="1" applyBorder="1" applyAlignment="1">
      <alignment horizontal="center" vertical="center"/>
    </xf>
    <xf numFmtId="0" fontId="10" fillId="0" borderId="111" xfId="0" applyFont="1" applyBorder="1" applyAlignment="1">
      <alignment horizontal="left" vertical="center"/>
    </xf>
    <xf numFmtId="0" fontId="10" fillId="0" borderId="110" xfId="0" applyFont="1" applyBorder="1" applyAlignment="1">
      <alignment horizontal="center" vertical="center"/>
    </xf>
    <xf numFmtId="2" fontId="10" fillId="0" borderId="110" xfId="0" applyNumberFormat="1" applyFont="1" applyBorder="1" applyAlignment="1">
      <alignment horizontal="center" vertical="center"/>
    </xf>
    <xf numFmtId="2" fontId="10" fillId="0" borderId="75" xfId="0" applyNumberFormat="1" applyFont="1" applyBorder="1" applyAlignment="1">
      <alignment horizontal="center" vertical="center"/>
    </xf>
    <xf numFmtId="166" fontId="10" fillId="0" borderId="65" xfId="0" applyNumberFormat="1" applyFont="1" applyBorder="1" applyAlignment="1">
      <alignment horizontal="center" vertical="center"/>
    </xf>
    <xf numFmtId="9" fontId="10" fillId="0" borderId="68" xfId="7" applyFont="1" applyBorder="1" applyAlignment="1">
      <alignment horizontal="center"/>
    </xf>
    <xf numFmtId="0" fontId="10" fillId="0" borderId="39" xfId="0" applyFont="1" applyBorder="1" applyAlignment="1">
      <alignment horizontal="left" vertical="center"/>
    </xf>
    <xf numFmtId="0" fontId="10" fillId="0" borderId="68" xfId="0" applyFont="1" applyBorder="1" applyAlignment="1">
      <alignment horizontal="center" vertical="center"/>
    </xf>
    <xf numFmtId="166" fontId="10" fillId="0" borderId="27" xfId="0" applyNumberFormat="1" applyFont="1" applyBorder="1" applyAlignment="1">
      <alignment horizontal="center" vertical="center"/>
    </xf>
    <xf numFmtId="0" fontId="4" fillId="0" borderId="6" xfId="0" applyFont="1" applyBorder="1" applyAlignment="1">
      <alignment horizontal="left" vertical="center"/>
    </xf>
    <xf numFmtId="0" fontId="4" fillId="0" borderId="14" xfId="0" applyFont="1" applyBorder="1" applyAlignment="1">
      <alignment horizontal="center"/>
    </xf>
    <xf numFmtId="164" fontId="10" fillId="0" borderId="27" xfId="0" applyNumberFormat="1" applyFont="1" applyBorder="1" applyAlignment="1">
      <alignment horizontal="center" vertical="center"/>
    </xf>
    <xf numFmtId="0" fontId="10" fillId="0" borderId="5" xfId="0" applyFont="1" applyBorder="1" applyAlignment="1">
      <alignment horizontal="center"/>
    </xf>
    <xf numFmtId="0" fontId="10" fillId="0" borderId="10" xfId="0" applyFont="1" applyBorder="1" applyAlignment="1">
      <alignment horizontal="center"/>
    </xf>
    <xf numFmtId="0" fontId="10" fillId="0" borderId="37" xfId="0" applyFont="1" applyBorder="1" applyAlignment="1">
      <alignment horizontal="center" vertical="center"/>
    </xf>
    <xf numFmtId="0" fontId="10" fillId="0" borderId="4" xfId="0" applyFont="1" applyBorder="1" applyAlignment="1">
      <alignment horizontal="center"/>
    </xf>
    <xf numFmtId="2" fontId="10" fillId="0" borderId="112" xfId="0" applyNumberFormat="1" applyFont="1" applyBorder="1" applyAlignment="1">
      <alignment horizontal="center" vertical="center"/>
    </xf>
    <xf numFmtId="2" fontId="10" fillId="0" borderId="37" xfId="0" applyNumberFormat="1" applyFont="1" applyBorder="1" applyAlignment="1">
      <alignment horizontal="center" vertical="center"/>
    </xf>
    <xf numFmtId="2" fontId="10" fillId="0" borderId="35" xfId="0" applyNumberFormat="1" applyFont="1" applyBorder="1" applyAlignment="1">
      <alignment horizontal="center" vertical="center"/>
    </xf>
    <xf numFmtId="164" fontId="10" fillId="0" borderId="65" xfId="0" applyNumberFormat="1" applyFont="1" applyBorder="1" applyAlignment="1">
      <alignment horizontal="center" vertical="center"/>
    </xf>
    <xf numFmtId="0" fontId="10" fillId="0" borderId="66" xfId="0" applyFont="1" applyBorder="1"/>
    <xf numFmtId="0" fontId="10" fillId="0" borderId="75" xfId="0" applyFont="1" applyBorder="1"/>
    <xf numFmtId="43" fontId="10" fillId="0" borderId="112" xfId="1" applyFont="1" applyBorder="1"/>
    <xf numFmtId="43" fontId="10" fillId="0" borderId="35" xfId="1" applyFont="1" applyBorder="1"/>
    <xf numFmtId="0" fontId="10" fillId="0" borderId="15" xfId="0" applyFont="1" applyBorder="1"/>
    <xf numFmtId="0" fontId="10" fillId="0" borderId="12" xfId="0" applyFont="1" applyBorder="1"/>
    <xf numFmtId="2" fontId="35" fillId="0" borderId="11" xfId="0" applyNumberFormat="1" applyFont="1" applyBorder="1" applyAlignment="1">
      <alignment horizontal="center" vertical="center"/>
    </xf>
    <xf numFmtId="2" fontId="35" fillId="0" borderId="10" xfId="0" applyNumberFormat="1" applyFont="1" applyBorder="1" applyAlignment="1">
      <alignment horizontal="center" vertical="center"/>
    </xf>
    <xf numFmtId="0" fontId="35" fillId="0" borderId="15" xfId="0" applyFont="1" applyBorder="1" applyAlignment="1">
      <alignment horizontal="center" vertical="center"/>
    </xf>
    <xf numFmtId="2" fontId="35" fillId="0" borderId="6" xfId="0" applyNumberFormat="1" applyFont="1" applyBorder="1" applyAlignment="1">
      <alignment horizontal="center" vertical="center"/>
    </xf>
    <xf numFmtId="2" fontId="35" fillId="0" borderId="15" xfId="0" applyNumberFormat="1" applyFont="1" applyBorder="1" applyAlignment="1">
      <alignment horizontal="center" vertical="center"/>
    </xf>
    <xf numFmtId="169" fontId="10" fillId="0" borderId="64" xfId="0" applyNumberFormat="1" applyFont="1" applyBorder="1"/>
    <xf numFmtId="169" fontId="10" fillId="0" borderId="110" xfId="0" applyNumberFormat="1" applyFont="1" applyBorder="1"/>
    <xf numFmtId="169" fontId="10" fillId="0" borderId="112" xfId="8" applyNumberFormat="1" applyFont="1" applyBorder="1"/>
    <xf numFmtId="169" fontId="10" fillId="0" borderId="35" xfId="8" applyNumberFormat="1" applyFont="1" applyBorder="1"/>
    <xf numFmtId="169" fontId="10" fillId="0" borderId="75" xfId="0" applyNumberFormat="1" applyFont="1" applyBorder="1"/>
    <xf numFmtId="0" fontId="3" fillId="0" borderId="0" xfId="0" applyFont="1" applyProtection="1">
      <protection locked="0"/>
    </xf>
    <xf numFmtId="0" fontId="10" fillId="0" borderId="0" xfId="0" applyFont="1" applyAlignment="1">
      <alignment horizontal="centerContinuous" vertical="center"/>
    </xf>
    <xf numFmtId="0" fontId="3" fillId="0" borderId="0" xfId="0" applyFont="1" applyAlignment="1" applyProtection="1">
      <alignment vertical="center"/>
      <protection locked="0"/>
    </xf>
    <xf numFmtId="0" fontId="3" fillId="0" borderId="66" xfId="0" applyFont="1" applyBorder="1" applyProtection="1">
      <protection locked="0"/>
    </xf>
    <xf numFmtId="44" fontId="37" fillId="0" borderId="0" xfId="6" applyFont="1" applyBorder="1" applyAlignment="1" applyProtection="1">
      <alignment vertical="center" wrapText="1"/>
      <protection locked="0"/>
    </xf>
    <xf numFmtId="0" fontId="3" fillId="0" borderId="14" xfId="0" applyFont="1" applyBorder="1" applyAlignment="1" applyProtection="1">
      <alignment vertical="center"/>
      <protection locked="0"/>
    </xf>
    <xf numFmtId="0" fontId="3" fillId="0" borderId="70" xfId="0" applyFont="1" applyBorder="1" applyProtection="1">
      <protection locked="0"/>
    </xf>
    <xf numFmtId="0" fontId="3" fillId="0" borderId="74" xfId="0" applyFont="1" applyBorder="1" applyProtection="1">
      <protection locked="0"/>
    </xf>
    <xf numFmtId="2" fontId="3" fillId="0" borderId="74" xfId="0" applyNumberFormat="1" applyFont="1" applyBorder="1" applyProtection="1">
      <protection locked="0"/>
    </xf>
    <xf numFmtId="0" fontId="19" fillId="0" borderId="118" xfId="2" applyBorder="1" applyAlignment="1">
      <alignment horizontal="center" vertical="center"/>
    </xf>
    <xf numFmtId="0" fontId="19" fillId="0" borderId="119" xfId="2" applyBorder="1" applyAlignment="1">
      <alignment horizontal="center" vertical="center"/>
    </xf>
    <xf numFmtId="2" fontId="3" fillId="0" borderId="121" xfId="0" applyNumberFormat="1" applyFont="1" applyBorder="1" applyAlignment="1" applyProtection="1">
      <alignment horizontal="center" vertical="center"/>
      <protection locked="0"/>
    </xf>
    <xf numFmtId="0" fontId="3" fillId="0" borderId="33" xfId="0" applyFont="1" applyBorder="1" applyAlignment="1" applyProtection="1">
      <alignment vertical="center"/>
      <protection locked="0"/>
    </xf>
    <xf numFmtId="2" fontId="3" fillId="0" borderId="74" xfId="0" applyNumberFormat="1" applyFont="1" applyBorder="1" applyAlignment="1" applyProtection="1">
      <alignment horizontal="center" vertical="center"/>
      <protection locked="0"/>
    </xf>
    <xf numFmtId="2" fontId="3" fillId="0" borderId="6" xfId="0" applyNumberFormat="1" applyFont="1" applyBorder="1" applyProtection="1">
      <protection locked="0"/>
    </xf>
    <xf numFmtId="2" fontId="4" fillId="0" borderId="0" xfId="0" applyNumberFormat="1" applyFont="1" applyProtection="1">
      <protection locked="0"/>
    </xf>
    <xf numFmtId="2" fontId="3" fillId="0" borderId="41" xfId="0" applyNumberFormat="1" applyFont="1" applyBorder="1" applyProtection="1">
      <protection locked="0"/>
    </xf>
    <xf numFmtId="2" fontId="3" fillId="0" borderId="113" xfId="0" applyNumberFormat="1" applyFont="1" applyBorder="1" applyProtection="1">
      <protection locked="0"/>
    </xf>
    <xf numFmtId="2" fontId="3" fillId="0" borderId="40" xfId="0" applyNumberFormat="1" applyFont="1" applyBorder="1" applyProtection="1">
      <protection locked="0"/>
    </xf>
    <xf numFmtId="2" fontId="7" fillId="0" borderId="126" xfId="0" applyNumberFormat="1" applyFont="1" applyBorder="1" applyAlignment="1">
      <alignment horizontal="center" vertical="center"/>
    </xf>
    <xf numFmtId="0" fontId="10" fillId="0" borderId="127" xfId="0" applyFont="1" applyBorder="1" applyAlignment="1">
      <alignment horizontal="center" vertical="center"/>
    </xf>
    <xf numFmtId="0" fontId="10" fillId="0" borderId="128" xfId="0" applyFont="1" applyBorder="1" applyAlignment="1">
      <alignment horizontal="center" vertical="center"/>
    </xf>
    <xf numFmtId="0" fontId="3" fillId="0" borderId="9" xfId="0" applyFont="1" applyBorder="1" applyProtection="1">
      <protection locked="0"/>
    </xf>
    <xf numFmtId="0" fontId="33" fillId="0" borderId="79" xfId="2" applyFont="1" applyBorder="1" applyAlignment="1">
      <alignment vertical="center"/>
    </xf>
    <xf numFmtId="0" fontId="33" fillId="0" borderId="80" xfId="2" applyFont="1" applyBorder="1" applyAlignment="1">
      <alignment vertical="center"/>
    </xf>
    <xf numFmtId="165" fontId="38" fillId="0" borderId="80" xfId="2" applyNumberFormat="1" applyFont="1" applyBorder="1" applyAlignment="1">
      <alignment vertical="center"/>
    </xf>
    <xf numFmtId="165" fontId="38" fillId="0" borderId="81" xfId="2" applyNumberFormat="1" applyFont="1" applyBorder="1" applyAlignment="1">
      <alignment vertical="center"/>
    </xf>
    <xf numFmtId="165" fontId="38" fillId="0" borderId="32" xfId="2" applyNumberFormat="1" applyFont="1" applyBorder="1" applyAlignment="1">
      <alignment vertical="center"/>
    </xf>
    <xf numFmtId="0" fontId="20" fillId="0" borderId="0" xfId="2" applyFont="1" applyAlignment="1">
      <alignment vertical="center"/>
    </xf>
    <xf numFmtId="0" fontId="22" fillId="0" borderId="80" xfId="2" applyFont="1" applyBorder="1" applyAlignment="1">
      <alignment horizontal="center" vertical="center"/>
    </xf>
    <xf numFmtId="166" fontId="39" fillId="0" borderId="81" xfId="2" applyNumberFormat="1" applyFont="1" applyBorder="1" applyAlignment="1">
      <alignment horizontal="center" vertical="center"/>
    </xf>
    <xf numFmtId="166" fontId="39" fillId="0" borderId="0" xfId="2" applyNumberFormat="1" applyFont="1" applyAlignment="1">
      <alignment horizontal="center" vertical="center"/>
    </xf>
    <xf numFmtId="0" fontId="19" fillId="0" borderId="115" xfId="2" applyBorder="1" applyAlignment="1">
      <alignment horizontal="center"/>
    </xf>
    <xf numFmtId="0" fontId="19" fillId="0" borderId="115" xfId="2" applyBorder="1" applyAlignment="1">
      <alignment horizontal="center" vertical="center"/>
    </xf>
    <xf numFmtId="0" fontId="19" fillId="0" borderId="116" xfId="2" applyBorder="1" applyAlignment="1">
      <alignment horizontal="center"/>
    </xf>
    <xf numFmtId="0" fontId="19" fillId="0" borderId="117" xfId="2" applyBorder="1" applyAlignment="1">
      <alignment horizontal="center"/>
    </xf>
    <xf numFmtId="0" fontId="19" fillId="0" borderId="66" xfId="2" applyBorder="1" applyAlignment="1">
      <alignment horizontal="center" vertical="center"/>
    </xf>
    <xf numFmtId="0" fontId="19" fillId="0" borderId="117" xfId="2" applyBorder="1" applyAlignment="1">
      <alignment horizontal="center" vertical="center"/>
    </xf>
    <xf numFmtId="0" fontId="19" fillId="0" borderId="116" xfId="2" applyBorder="1"/>
    <xf numFmtId="0" fontId="19" fillId="0" borderId="117" xfId="2" applyBorder="1"/>
    <xf numFmtId="0" fontId="20" fillId="0" borderId="120" xfId="2" applyFont="1" applyBorder="1" applyAlignment="1">
      <alignment horizontal="center" vertical="center"/>
    </xf>
    <xf numFmtId="0" fontId="20" fillId="0" borderId="117" xfId="2" applyFont="1" applyBorder="1" applyAlignment="1">
      <alignment horizontal="center" vertical="center"/>
    </xf>
    <xf numFmtId="0" fontId="19" fillId="0" borderId="109" xfId="2" applyBorder="1" applyAlignment="1">
      <alignment horizontal="center" vertical="center" wrapText="1"/>
    </xf>
    <xf numFmtId="0" fontId="19" fillId="0" borderId="108" xfId="2" applyBorder="1" applyAlignment="1">
      <alignment horizontal="center" vertical="center" wrapText="1"/>
    </xf>
    <xf numFmtId="0" fontId="7" fillId="0" borderId="0" xfId="0" applyFont="1" applyAlignment="1">
      <alignment horizontal="center" vertical="center"/>
    </xf>
    <xf numFmtId="0" fontId="4" fillId="0" borderId="0" xfId="0" applyFont="1" applyAlignment="1">
      <alignment horizontal="left" vertical="center" wrapText="1"/>
    </xf>
    <xf numFmtId="2" fontId="35" fillId="0" borderId="0" xfId="0" applyNumberFormat="1" applyFont="1" applyAlignment="1">
      <alignment horizontal="center" vertical="center"/>
    </xf>
    <xf numFmtId="0" fontId="10" fillId="0" borderId="0" xfId="0" applyFont="1" applyAlignment="1">
      <alignment horizontal="left" vertical="center" wrapText="1"/>
    </xf>
    <xf numFmtId="14" fontId="4" fillId="0" borderId="0" xfId="0" applyNumberFormat="1" applyFont="1" applyAlignment="1" applyProtection="1">
      <alignment horizontal="center" vertical="center"/>
      <protection hidden="1"/>
    </xf>
    <xf numFmtId="2" fontId="6" fillId="0" borderId="0" xfId="0" applyNumberFormat="1" applyFont="1" applyAlignment="1">
      <alignment horizontal="center" vertical="center"/>
    </xf>
    <xf numFmtId="0" fontId="7" fillId="0" borderId="33" xfId="0" applyFont="1" applyBorder="1" applyAlignment="1">
      <alignment horizontal="right" vertical="center"/>
    </xf>
    <xf numFmtId="44" fontId="6" fillId="0" borderId="0" xfId="6" applyFont="1" applyAlignment="1">
      <alignment horizontal="center" vertical="center"/>
    </xf>
    <xf numFmtId="44" fontId="6" fillId="0" borderId="0" xfId="0" applyNumberFormat="1" applyFont="1" applyAlignment="1">
      <alignment horizontal="center" vertical="center"/>
    </xf>
    <xf numFmtId="0" fontId="6" fillId="0" borderId="0" xfId="0" applyFont="1" applyAlignment="1">
      <alignment horizontal="right"/>
    </xf>
    <xf numFmtId="44" fontId="6" fillId="0" borderId="0" xfId="6" applyFont="1"/>
    <xf numFmtId="0" fontId="5" fillId="0" borderId="0" xfId="0" applyFont="1"/>
    <xf numFmtId="8" fontId="6" fillId="0" borderId="0" xfId="0" applyNumberFormat="1" applyFont="1" applyAlignment="1">
      <alignment horizontal="right"/>
    </xf>
    <xf numFmtId="0" fontId="40" fillId="0" borderId="0" xfId="0" applyFont="1"/>
    <xf numFmtId="164" fontId="6" fillId="0" borderId="0" xfId="0" applyNumberFormat="1" applyFont="1" applyAlignment="1">
      <alignment horizontal="center" vertical="center"/>
    </xf>
    <xf numFmtId="164" fontId="6" fillId="0" borderId="0" xfId="0" applyNumberFormat="1" applyFont="1" applyAlignment="1">
      <alignment horizontal="left" vertical="center"/>
    </xf>
    <xf numFmtId="0" fontId="0" fillId="0" borderId="64" xfId="0" applyBorder="1" applyAlignment="1" applyProtection="1">
      <alignment horizontal="center"/>
      <protection locked="0"/>
    </xf>
    <xf numFmtId="0" fontId="0" fillId="0" borderId="28" xfId="0" applyBorder="1"/>
    <xf numFmtId="0" fontId="42" fillId="0" borderId="0" xfId="0" applyFont="1" applyAlignment="1" applyProtection="1">
      <alignment horizontal="right"/>
      <protection locked="0"/>
    </xf>
    <xf numFmtId="0" fontId="0" fillId="0" borderId="0" xfId="0" applyProtection="1">
      <protection locked="0"/>
    </xf>
    <xf numFmtId="172" fontId="0" fillId="0" borderId="92" xfId="1" applyNumberFormat="1" applyFont="1" applyBorder="1" applyProtection="1">
      <protection locked="0"/>
    </xf>
    <xf numFmtId="0" fontId="0" fillId="0" borderId="0" xfId="0" applyAlignment="1" applyProtection="1">
      <alignment horizontal="right"/>
      <protection locked="0"/>
    </xf>
    <xf numFmtId="172" fontId="23" fillId="0" borderId="68" xfId="1" applyNumberFormat="1" applyFont="1" applyBorder="1" applyProtection="1">
      <protection locked="0"/>
    </xf>
    <xf numFmtId="173" fontId="0" fillId="0" borderId="0" xfId="0" applyNumberFormat="1" applyProtection="1">
      <protection locked="0"/>
    </xf>
    <xf numFmtId="172" fontId="23" fillId="0" borderId="67" xfId="1" applyNumberFormat="1" applyFont="1" applyBorder="1" applyProtection="1">
      <protection locked="0"/>
    </xf>
    <xf numFmtId="9" fontId="0" fillId="0" borderId="0" xfId="0" applyNumberFormat="1" applyProtection="1">
      <protection locked="0"/>
    </xf>
    <xf numFmtId="0" fontId="43" fillId="0" borderId="0" xfId="0" applyFont="1" applyAlignment="1" applyProtection="1">
      <alignment horizontal="right"/>
      <protection locked="0"/>
    </xf>
    <xf numFmtId="172" fontId="0" fillId="0" borderId="64" xfId="1" applyNumberFormat="1" applyFont="1" applyBorder="1" applyProtection="1">
      <protection locked="0"/>
    </xf>
    <xf numFmtId="0" fontId="0" fillId="0" borderId="28" xfId="0" applyBorder="1" applyProtection="1">
      <protection locked="0"/>
    </xf>
    <xf numFmtId="0" fontId="0" fillId="0" borderId="129" xfId="0" applyBorder="1" applyProtection="1">
      <protection locked="0"/>
    </xf>
    <xf numFmtId="0" fontId="0" fillId="0" borderId="30" xfId="0" applyBorder="1"/>
    <xf numFmtId="0" fontId="0" fillId="0" borderId="26" xfId="0" applyBorder="1"/>
    <xf numFmtId="0" fontId="0" fillId="0" borderId="26" xfId="0" applyBorder="1" applyAlignment="1" applyProtection="1">
      <alignment horizontal="right"/>
      <protection locked="0"/>
    </xf>
    <xf numFmtId="166" fontId="20" fillId="0" borderId="90" xfId="0" applyNumberFormat="1" applyFont="1" applyBorder="1" applyAlignment="1" applyProtection="1">
      <alignment horizontal="center"/>
      <protection locked="0"/>
    </xf>
    <xf numFmtId="164" fontId="20" fillId="0" borderId="90" xfId="0" applyNumberFormat="1" applyFont="1" applyBorder="1" applyAlignment="1" applyProtection="1">
      <alignment horizontal="center"/>
      <protection locked="0"/>
    </xf>
    <xf numFmtId="0" fontId="41" fillId="0" borderId="0" xfId="0" applyFont="1" applyAlignment="1">
      <alignment horizontal="center" vertical="center"/>
    </xf>
    <xf numFmtId="8" fontId="6" fillId="0" borderId="0" xfId="0" applyNumberFormat="1" applyFont="1" applyAlignment="1">
      <alignment horizontal="center" vertical="center"/>
    </xf>
    <xf numFmtId="0" fontId="40" fillId="0" borderId="0" xfId="0" applyFont="1" applyAlignment="1">
      <alignment horizontal="center" vertical="center"/>
    </xf>
    <xf numFmtId="0" fontId="40" fillId="0" borderId="0" xfId="0" applyFont="1" applyAlignment="1">
      <alignment vertical="center"/>
    </xf>
    <xf numFmtId="8" fontId="40" fillId="0" borderId="0" xfId="0" applyNumberFormat="1" applyFont="1" applyAlignment="1">
      <alignment horizontal="center" vertical="center"/>
    </xf>
    <xf numFmtId="164" fontId="40" fillId="0" borderId="0" xfId="0" applyNumberFormat="1" applyFont="1" applyAlignment="1">
      <alignment horizontal="center" vertical="center"/>
    </xf>
    <xf numFmtId="0" fontId="0" fillId="0" borderId="28" xfId="0" applyBorder="1" applyAlignment="1">
      <alignment vertical="center"/>
    </xf>
    <xf numFmtId="0" fontId="42" fillId="0" borderId="0" xfId="0" applyFont="1" applyAlignment="1" applyProtection="1">
      <alignment horizontal="right" vertical="center"/>
      <protection locked="0"/>
    </xf>
    <xf numFmtId="0" fontId="0" fillId="0" borderId="0" xfId="0" applyAlignment="1" applyProtection="1">
      <alignment horizontal="right" vertical="center"/>
      <protection locked="0"/>
    </xf>
    <xf numFmtId="0" fontId="43" fillId="0" borderId="0" xfId="0" applyFont="1" applyAlignment="1" applyProtection="1">
      <alignment horizontal="right" vertical="center"/>
      <protection locked="0"/>
    </xf>
    <xf numFmtId="0" fontId="45" fillId="0" borderId="0" xfId="0" applyFont="1" applyProtection="1">
      <protection locked="0"/>
    </xf>
    <xf numFmtId="0" fontId="3" fillId="0" borderId="0" xfId="0" applyFont="1" applyAlignment="1" applyProtection="1">
      <alignment vertical="center" wrapText="1"/>
      <protection locked="0"/>
    </xf>
    <xf numFmtId="0" fontId="3" fillId="0" borderId="66" xfId="0" applyFont="1" applyBorder="1" applyAlignment="1" applyProtection="1">
      <alignment vertical="center" wrapText="1"/>
      <protection locked="0"/>
    </xf>
    <xf numFmtId="9" fontId="46" fillId="0" borderId="24" xfId="5" applyFont="1" applyBorder="1" applyAlignment="1" applyProtection="1">
      <alignment vertical="center" wrapText="1"/>
      <protection locked="0"/>
    </xf>
    <xf numFmtId="9" fontId="46" fillId="0" borderId="0" xfId="5" applyFont="1" applyBorder="1" applyAlignment="1" applyProtection="1">
      <alignment vertical="center" wrapText="1"/>
      <protection locked="0"/>
    </xf>
    <xf numFmtId="0" fontId="46" fillId="0" borderId="0" xfId="0" applyFont="1" applyAlignment="1" applyProtection="1">
      <alignment vertical="center" wrapText="1"/>
      <protection locked="0"/>
    </xf>
    <xf numFmtId="0" fontId="48" fillId="0" borderId="0" xfId="0" applyFont="1" applyProtection="1">
      <protection locked="0"/>
    </xf>
    <xf numFmtId="0" fontId="48" fillId="0" borderId="66" xfId="0" applyFont="1" applyBorder="1" applyProtection="1">
      <protection locked="0"/>
    </xf>
    <xf numFmtId="0" fontId="48" fillId="0" borderId="26" xfId="0" applyFont="1" applyBorder="1" applyProtection="1">
      <protection locked="0"/>
    </xf>
    <xf numFmtId="0" fontId="49" fillId="0" borderId="0" xfId="0" applyFont="1"/>
    <xf numFmtId="0" fontId="6" fillId="11" borderId="0" xfId="0" applyFont="1" applyFill="1" applyAlignment="1">
      <alignment horizontal="center" vertical="center"/>
    </xf>
    <xf numFmtId="44" fontId="6" fillId="0" borderId="0" xfId="0" applyNumberFormat="1" applyFont="1"/>
    <xf numFmtId="44" fontId="6" fillId="0" borderId="26" xfId="0" applyNumberFormat="1" applyFont="1" applyBorder="1"/>
    <xf numFmtId="0" fontId="10" fillId="0" borderId="0" xfId="2" applyFont="1"/>
    <xf numFmtId="10" fontId="10" fillId="0" borderId="64" xfId="2" applyNumberFormat="1" applyFont="1" applyBorder="1" applyAlignment="1" applyProtection="1">
      <alignment horizontal="center" vertical="center"/>
      <protection locked="0"/>
    </xf>
    <xf numFmtId="0" fontId="5" fillId="0" borderId="0" xfId="2" applyFont="1"/>
    <xf numFmtId="2" fontId="10" fillId="0" borderId="64" xfId="2" applyNumberFormat="1" applyFont="1" applyBorder="1" applyAlignment="1">
      <alignment horizontal="center" vertical="center"/>
    </xf>
    <xf numFmtId="2" fontId="10" fillId="0" borderId="75" xfId="2" applyNumberFormat="1" applyFont="1" applyBorder="1" applyAlignment="1">
      <alignment horizontal="center" vertical="center"/>
    </xf>
    <xf numFmtId="2" fontId="10" fillId="0" borderId="68" xfId="2" applyNumberFormat="1" applyFont="1" applyBorder="1" applyAlignment="1">
      <alignment horizontal="center" vertical="center"/>
    </xf>
    <xf numFmtId="0" fontId="10" fillId="0" borderId="0" xfId="2" applyFont="1" applyAlignment="1">
      <alignment vertical="center"/>
    </xf>
    <xf numFmtId="0" fontId="10" fillId="0" borderId="0" xfId="2" applyFont="1" applyAlignment="1">
      <alignment horizontal="center"/>
    </xf>
    <xf numFmtId="0" fontId="10" fillId="0" borderId="9" xfId="2" applyFont="1" applyBorder="1"/>
    <xf numFmtId="0" fontId="10" fillId="0" borderId="53" xfId="2" applyFont="1" applyBorder="1"/>
    <xf numFmtId="0" fontId="10" fillId="0" borderId="34" xfId="2" applyFont="1" applyBorder="1" applyAlignment="1">
      <alignment horizontal="right" vertical="center"/>
    </xf>
    <xf numFmtId="0" fontId="10" fillId="0" borderId="111" xfId="2" applyFont="1" applyBorder="1" applyAlignment="1">
      <alignment horizontal="right" vertical="center"/>
    </xf>
    <xf numFmtId="10" fontId="10" fillId="0" borderId="25" xfId="2" applyNumberFormat="1" applyFont="1" applyBorder="1" applyAlignment="1" applyProtection="1">
      <alignment horizontal="center" vertical="center"/>
      <protection locked="0"/>
    </xf>
    <xf numFmtId="165" fontId="10" fillId="0" borderId="46" xfId="2" applyNumberFormat="1" applyFont="1" applyBorder="1" applyAlignment="1">
      <alignment horizontal="right" vertical="center"/>
    </xf>
    <xf numFmtId="165" fontId="10" fillId="0" borderId="46" xfId="2" applyNumberFormat="1" applyFont="1" applyBorder="1" applyAlignment="1" applyProtection="1">
      <alignment horizontal="right" vertical="center"/>
      <protection locked="0"/>
    </xf>
    <xf numFmtId="10" fontId="10" fillId="0" borderId="110" xfId="2" applyNumberFormat="1" applyFont="1" applyBorder="1" applyAlignment="1" applyProtection="1">
      <alignment horizontal="center" vertical="center"/>
      <protection locked="0"/>
    </xf>
    <xf numFmtId="10" fontId="10" fillId="0" borderId="103" xfId="2" applyNumberFormat="1" applyFont="1" applyBorder="1" applyAlignment="1" applyProtection="1">
      <alignment horizontal="center" vertical="center"/>
      <protection locked="0"/>
    </xf>
    <xf numFmtId="2" fontId="52" fillId="0" borderId="6" xfId="4" applyNumberFormat="1" applyFont="1" applyBorder="1" applyAlignment="1">
      <alignment horizontal="center" vertical="center" wrapText="1"/>
    </xf>
    <xf numFmtId="0" fontId="54" fillId="0" borderId="34" xfId="4" applyFont="1" applyBorder="1" applyAlignment="1">
      <alignment horizontal="center" vertical="center"/>
    </xf>
    <xf numFmtId="0" fontId="54" fillId="0" borderId="64" xfId="4" applyFont="1" applyBorder="1" applyAlignment="1">
      <alignment horizontal="center" vertical="center"/>
    </xf>
    <xf numFmtId="0" fontId="54" fillId="0" borderId="25" xfId="4" applyFont="1" applyBorder="1" applyAlignment="1">
      <alignment horizontal="center" vertical="center"/>
    </xf>
    <xf numFmtId="2" fontId="54" fillId="0" borderId="65" xfId="4" applyNumberFormat="1" applyFont="1" applyBorder="1" applyAlignment="1">
      <alignment horizontal="center" vertical="center"/>
    </xf>
    <xf numFmtId="2" fontId="54" fillId="0" borderId="64" xfId="4" applyNumberFormat="1" applyFont="1" applyBorder="1" applyAlignment="1">
      <alignment horizontal="center" vertical="center"/>
    </xf>
    <xf numFmtId="2" fontId="53" fillId="0" borderId="64" xfId="4" applyNumberFormat="1" applyFont="1" applyBorder="1" applyAlignment="1">
      <alignment horizontal="center" vertical="center"/>
    </xf>
    <xf numFmtId="2" fontId="54" fillId="0" borderId="25" xfId="4" applyNumberFormat="1" applyFont="1" applyBorder="1" applyAlignment="1">
      <alignment horizontal="center" vertical="center"/>
    </xf>
    <xf numFmtId="165" fontId="53" fillId="9" borderId="47" xfId="4" applyNumberFormat="1" applyFont="1" applyFill="1" applyBorder="1" applyAlignment="1">
      <alignment horizontal="center" vertical="center"/>
    </xf>
    <xf numFmtId="9" fontId="54" fillId="0" borderId="65" xfId="5" applyFont="1" applyBorder="1" applyAlignment="1">
      <alignment horizontal="center" vertical="center"/>
    </xf>
    <xf numFmtId="165" fontId="55" fillId="9" borderId="47" xfId="4" applyNumberFormat="1" applyFont="1" applyFill="1" applyBorder="1" applyAlignment="1">
      <alignment horizontal="center" vertical="center"/>
    </xf>
    <xf numFmtId="0" fontId="54" fillId="0" borderId="36" xfId="4" applyFont="1" applyBorder="1" applyAlignment="1">
      <alignment horizontal="center" vertical="center"/>
    </xf>
    <xf numFmtId="0" fontId="54" fillId="0" borderId="75" xfId="4" applyFont="1" applyBorder="1" applyAlignment="1">
      <alignment horizontal="center" vertical="center"/>
    </xf>
    <xf numFmtId="0" fontId="54" fillId="0" borderId="76" xfId="4" applyFont="1" applyBorder="1" applyAlignment="1">
      <alignment horizontal="center" vertical="center"/>
    </xf>
    <xf numFmtId="165" fontId="53" fillId="9" borderId="58" xfId="4" applyNumberFormat="1" applyFont="1" applyFill="1" applyBorder="1" applyAlignment="1">
      <alignment horizontal="center" vertical="center"/>
    </xf>
    <xf numFmtId="2" fontId="54" fillId="0" borderId="77" xfId="4" applyNumberFormat="1" applyFont="1" applyBorder="1" applyAlignment="1">
      <alignment horizontal="center" vertical="center"/>
    </xf>
    <xf numFmtId="2" fontId="54" fillId="0" borderId="75" xfId="4" applyNumberFormat="1" applyFont="1" applyBorder="1" applyAlignment="1">
      <alignment horizontal="center" vertical="center"/>
    </xf>
    <xf numFmtId="2" fontId="54" fillId="0" borderId="76" xfId="4" applyNumberFormat="1" applyFont="1" applyBorder="1" applyAlignment="1">
      <alignment horizontal="center" vertical="center"/>
    </xf>
    <xf numFmtId="0" fontId="54" fillId="0" borderId="77" xfId="4" applyFont="1" applyBorder="1" applyAlignment="1">
      <alignment horizontal="center" vertical="center"/>
    </xf>
    <xf numFmtId="2" fontId="53" fillId="0" borderId="75" xfId="4" applyNumberFormat="1" applyFont="1" applyBorder="1" applyAlignment="1">
      <alignment horizontal="center" vertical="center"/>
    </xf>
    <xf numFmtId="165" fontId="55" fillId="9" borderId="58" xfId="4" applyNumberFormat="1" applyFont="1" applyFill="1" applyBorder="1" applyAlignment="1">
      <alignment horizontal="center" vertical="center"/>
    </xf>
    <xf numFmtId="0" fontId="10" fillId="9" borderId="41" xfId="2" applyFont="1" applyFill="1" applyBorder="1" applyAlignment="1">
      <alignment horizontal="center" vertical="center"/>
    </xf>
    <xf numFmtId="0" fontId="10" fillId="9" borderId="130" xfId="2" applyFont="1" applyFill="1" applyBorder="1" applyAlignment="1">
      <alignment horizontal="center" vertical="center"/>
    </xf>
    <xf numFmtId="0" fontId="10" fillId="9" borderId="110" xfId="2" applyFont="1" applyFill="1" applyBorder="1" applyAlignment="1">
      <alignment horizontal="center" vertical="center"/>
    </xf>
    <xf numFmtId="0" fontId="10" fillId="9" borderId="103" xfId="2" applyFont="1" applyFill="1" applyBorder="1" applyAlignment="1">
      <alignment horizontal="center" vertical="center"/>
    </xf>
    <xf numFmtId="0" fontId="10" fillId="9" borderId="45" xfId="2" applyFont="1" applyFill="1" applyBorder="1" applyAlignment="1">
      <alignment horizontal="right" vertical="center"/>
    </xf>
    <xf numFmtId="10" fontId="10" fillId="9" borderId="110" xfId="2" applyNumberFormat="1" applyFont="1" applyFill="1" applyBorder="1" applyAlignment="1">
      <alignment horizontal="center" vertical="center"/>
    </xf>
    <xf numFmtId="10" fontId="10" fillId="9" borderId="103" xfId="2" applyNumberFormat="1" applyFont="1" applyFill="1" applyBorder="1" applyAlignment="1">
      <alignment horizontal="center" vertical="center"/>
    </xf>
    <xf numFmtId="165" fontId="10" fillId="9" borderId="45" xfId="2" applyNumberFormat="1" applyFont="1" applyFill="1" applyBorder="1" applyAlignment="1">
      <alignment horizontal="right" vertical="center"/>
    </xf>
    <xf numFmtId="0" fontId="10" fillId="9" borderId="76" xfId="2" applyFont="1" applyFill="1" applyBorder="1" applyAlignment="1">
      <alignment horizontal="center" vertical="center"/>
    </xf>
    <xf numFmtId="0" fontId="10" fillId="9" borderId="113" xfId="2" applyFont="1" applyFill="1" applyBorder="1" applyAlignment="1">
      <alignment horizontal="center" vertical="center"/>
    </xf>
    <xf numFmtId="0" fontId="10" fillId="9" borderId="40" xfId="2" applyFont="1" applyFill="1" applyBorder="1" applyAlignment="1">
      <alignment horizontal="center" vertical="center"/>
    </xf>
    <xf numFmtId="0" fontId="10" fillId="9" borderId="131" xfId="2" applyFont="1" applyFill="1" applyBorder="1" applyAlignment="1">
      <alignment vertical="center"/>
    </xf>
    <xf numFmtId="0" fontId="10" fillId="9" borderId="110" xfId="2" applyFont="1" applyFill="1" applyBorder="1" applyAlignment="1">
      <alignment vertical="center"/>
    </xf>
    <xf numFmtId="165" fontId="10" fillId="9" borderId="110" xfId="2" applyNumberFormat="1" applyFont="1" applyFill="1" applyBorder="1" applyAlignment="1">
      <alignment vertical="center"/>
    </xf>
    <xf numFmtId="165" fontId="10" fillId="9" borderId="112" xfId="2" applyNumberFormat="1" applyFont="1" applyFill="1" applyBorder="1" applyAlignment="1">
      <alignment vertical="center"/>
    </xf>
    <xf numFmtId="0" fontId="10" fillId="9" borderId="24" xfId="2" applyFont="1" applyFill="1" applyBorder="1" applyAlignment="1">
      <alignment vertical="center"/>
    </xf>
    <xf numFmtId="165" fontId="10" fillId="9" borderId="64" xfId="2" applyNumberFormat="1" applyFont="1" applyFill="1" applyBorder="1" applyAlignment="1">
      <alignment vertical="center"/>
    </xf>
    <xf numFmtId="165" fontId="10" fillId="9" borderId="35" xfId="2" applyNumberFormat="1" applyFont="1" applyFill="1" applyBorder="1" applyAlignment="1">
      <alignment vertical="center"/>
    </xf>
    <xf numFmtId="165" fontId="10" fillId="9" borderId="77" xfId="2" applyNumberFormat="1" applyFont="1" applyFill="1" applyBorder="1" applyAlignment="1">
      <alignment vertical="center"/>
    </xf>
    <xf numFmtId="165" fontId="10" fillId="9" borderId="37" xfId="2" applyNumberFormat="1" applyFont="1" applyFill="1" applyBorder="1" applyAlignment="1">
      <alignment vertical="center"/>
    </xf>
    <xf numFmtId="0" fontId="10" fillId="9" borderId="73" xfId="2" applyFont="1" applyFill="1" applyBorder="1" applyAlignment="1">
      <alignment vertical="center"/>
    </xf>
    <xf numFmtId="10" fontId="10" fillId="0" borderId="64" xfId="2" applyNumberFormat="1" applyFont="1" applyBorder="1" applyAlignment="1">
      <alignment horizontal="center" vertical="center"/>
    </xf>
    <xf numFmtId="165" fontId="4" fillId="11" borderId="6" xfId="2" applyNumberFormat="1" applyFont="1" applyFill="1" applyBorder="1" applyAlignment="1" applyProtection="1">
      <alignment horizontal="right" vertical="center"/>
      <protection locked="0"/>
    </xf>
    <xf numFmtId="165" fontId="4" fillId="11" borderId="6" xfId="2" applyNumberFormat="1" applyFont="1" applyFill="1" applyBorder="1" applyAlignment="1">
      <alignment horizontal="right" vertical="center"/>
    </xf>
    <xf numFmtId="165" fontId="7" fillId="11" borderId="6" xfId="2" applyNumberFormat="1" applyFont="1" applyFill="1" applyBorder="1" applyAlignment="1">
      <alignment horizontal="right" vertical="center"/>
    </xf>
    <xf numFmtId="0" fontId="4" fillId="12" borderId="36" xfId="2" applyFont="1" applyFill="1" applyBorder="1" applyAlignment="1">
      <alignment horizontal="right" vertical="center"/>
    </xf>
    <xf numFmtId="0" fontId="4" fillId="11" borderId="6" xfId="2" applyFont="1" applyFill="1" applyBorder="1" applyAlignment="1">
      <alignment horizontal="left" vertical="center"/>
    </xf>
    <xf numFmtId="0" fontId="4" fillId="11" borderId="41" xfId="2" applyFont="1" applyFill="1" applyBorder="1" applyAlignment="1">
      <alignment horizontal="left" vertical="center"/>
    </xf>
    <xf numFmtId="0" fontId="4" fillId="11" borderId="41" xfId="2" applyFont="1" applyFill="1" applyBorder="1" applyAlignment="1">
      <alignment vertical="center"/>
    </xf>
    <xf numFmtId="0" fontId="4" fillId="5" borderId="41" xfId="2" applyFont="1" applyFill="1" applyBorder="1" applyAlignment="1">
      <alignment vertical="center"/>
    </xf>
    <xf numFmtId="14" fontId="7" fillId="0" borderId="14" xfId="0" applyNumberFormat="1" applyFont="1" applyBorder="1" applyAlignment="1">
      <alignment vertical="center"/>
    </xf>
    <xf numFmtId="10" fontId="10" fillId="9" borderId="113" xfId="2" applyNumberFormat="1" applyFont="1" applyFill="1" applyBorder="1" applyAlignment="1">
      <alignment horizontal="center" vertical="center"/>
    </xf>
    <xf numFmtId="0" fontId="4" fillId="9" borderId="111" xfId="2" applyFont="1" applyFill="1" applyBorder="1" applyAlignment="1">
      <alignment vertical="center"/>
    </xf>
    <xf numFmtId="0" fontId="4" fillId="9" borderId="111" xfId="2" applyFont="1" applyFill="1" applyBorder="1" applyAlignment="1">
      <alignment horizontal="left" vertical="center"/>
    </xf>
    <xf numFmtId="10" fontId="10" fillId="0" borderId="25" xfId="2" applyNumberFormat="1" applyFont="1" applyBorder="1" applyAlignment="1">
      <alignment horizontal="center" vertical="center"/>
    </xf>
    <xf numFmtId="165" fontId="10" fillId="0" borderId="64" xfId="2" applyNumberFormat="1" applyFont="1" applyBorder="1" applyAlignment="1">
      <alignment horizontal="center" vertical="center"/>
    </xf>
    <xf numFmtId="165" fontId="10" fillId="0" borderId="25" xfId="2" applyNumberFormat="1" applyFont="1" applyBorder="1" applyAlignment="1">
      <alignment horizontal="center" vertical="center"/>
    </xf>
    <xf numFmtId="0" fontId="4" fillId="12" borderId="36" xfId="2" applyFont="1" applyFill="1" applyBorder="1" applyAlignment="1">
      <alignment vertical="center"/>
    </xf>
    <xf numFmtId="0" fontId="10" fillId="12" borderId="75" xfId="2" applyFont="1" applyFill="1" applyBorder="1" applyAlignment="1">
      <alignment horizontal="center" vertical="center"/>
    </xf>
    <xf numFmtId="0" fontId="10" fillId="12" borderId="76" xfId="2" applyFont="1" applyFill="1" applyBorder="1" applyAlignment="1">
      <alignment horizontal="center" vertical="center"/>
    </xf>
    <xf numFmtId="165" fontId="10" fillId="12" borderId="75" xfId="2" applyNumberFormat="1" applyFont="1" applyFill="1" applyBorder="1" applyAlignment="1">
      <alignment horizontal="right" vertical="center"/>
    </xf>
    <xf numFmtId="165" fontId="10" fillId="12" borderId="76" xfId="2" applyNumberFormat="1" applyFont="1" applyFill="1" applyBorder="1" applyAlignment="1">
      <alignment horizontal="right" vertical="center"/>
    </xf>
    <xf numFmtId="10" fontId="50" fillId="12" borderId="75" xfId="2" applyNumberFormat="1" applyFont="1" applyFill="1" applyBorder="1" applyAlignment="1">
      <alignment horizontal="center" vertical="center"/>
    </xf>
    <xf numFmtId="10" fontId="10" fillId="12" borderId="76" xfId="2" applyNumberFormat="1" applyFont="1" applyFill="1" applyBorder="1" applyAlignment="1">
      <alignment horizontal="center" vertical="center"/>
    </xf>
    <xf numFmtId="10" fontId="10" fillId="12" borderId="75" xfId="2" applyNumberFormat="1" applyFont="1" applyFill="1" applyBorder="1" applyAlignment="1">
      <alignment horizontal="center" vertical="center"/>
    </xf>
    <xf numFmtId="0" fontId="10" fillId="11" borderId="41" xfId="2" applyFont="1" applyFill="1" applyBorder="1" applyAlignment="1">
      <alignment horizontal="center" vertical="center"/>
    </xf>
    <xf numFmtId="0" fontId="10" fillId="11" borderId="130" xfId="2" applyFont="1" applyFill="1" applyBorder="1" applyAlignment="1">
      <alignment horizontal="center" vertical="center"/>
    </xf>
    <xf numFmtId="10" fontId="10" fillId="11" borderId="113" xfId="2" applyNumberFormat="1" applyFont="1" applyFill="1" applyBorder="1" applyAlignment="1">
      <alignment horizontal="center" vertical="center"/>
    </xf>
    <xf numFmtId="10" fontId="10" fillId="11" borderId="130" xfId="2" applyNumberFormat="1" applyFont="1" applyFill="1" applyBorder="1" applyAlignment="1">
      <alignment horizontal="center" vertical="center"/>
    </xf>
    <xf numFmtId="0" fontId="10" fillId="11" borderId="113" xfId="2" applyFont="1" applyFill="1" applyBorder="1" applyAlignment="1">
      <alignment horizontal="center" vertical="center"/>
    </xf>
    <xf numFmtId="0" fontId="10" fillId="11" borderId="40" xfId="2" applyFont="1" applyFill="1" applyBorder="1" applyAlignment="1">
      <alignment horizontal="center" vertical="center"/>
    </xf>
    <xf numFmtId="0" fontId="4" fillId="5" borderId="6" xfId="2" applyFont="1" applyFill="1" applyBorder="1" applyAlignment="1">
      <alignment vertical="center"/>
    </xf>
    <xf numFmtId="0" fontId="10" fillId="9" borderId="113" xfId="2" applyFont="1" applyFill="1" applyBorder="1" applyAlignment="1">
      <alignment horizontal="center"/>
    </xf>
    <xf numFmtId="10" fontId="10" fillId="9" borderId="113" xfId="2" applyNumberFormat="1" applyFont="1" applyFill="1" applyBorder="1" applyAlignment="1">
      <alignment horizontal="center"/>
    </xf>
    <xf numFmtId="0" fontId="10" fillId="9" borderId="40" xfId="2" applyFont="1" applyFill="1" applyBorder="1" applyAlignment="1">
      <alignment horizontal="center"/>
    </xf>
    <xf numFmtId="0" fontId="10" fillId="9" borderId="112" xfId="2" applyFont="1" applyFill="1" applyBorder="1" applyAlignment="1">
      <alignment horizontal="center" vertical="center"/>
    </xf>
    <xf numFmtId="0" fontId="10" fillId="9" borderId="40" xfId="2" applyFont="1" applyFill="1" applyBorder="1" applyAlignment="1">
      <alignment vertical="center"/>
    </xf>
    <xf numFmtId="0" fontId="10" fillId="9" borderId="41" xfId="2" applyFont="1" applyFill="1" applyBorder="1" applyAlignment="1">
      <alignment horizontal="center"/>
    </xf>
    <xf numFmtId="0" fontId="10" fillId="11" borderId="39" xfId="2" applyFont="1" applyFill="1" applyBorder="1" applyAlignment="1">
      <alignment horizontal="center" vertical="center"/>
    </xf>
    <xf numFmtId="9" fontId="10" fillId="11" borderId="34" xfId="7" applyFont="1" applyFill="1" applyBorder="1" applyAlignment="1">
      <alignment horizontal="center" vertical="center"/>
    </xf>
    <xf numFmtId="0" fontId="10" fillId="11" borderId="34" xfId="2" applyFont="1" applyFill="1" applyBorder="1" applyAlignment="1">
      <alignment horizontal="center" vertical="center"/>
    </xf>
    <xf numFmtId="0" fontId="10" fillId="11" borderId="36" xfId="2" applyFont="1" applyFill="1" applyBorder="1" applyAlignment="1">
      <alignment horizontal="center" vertical="center"/>
    </xf>
    <xf numFmtId="0" fontId="10" fillId="11" borderId="39" xfId="2" applyFont="1" applyFill="1" applyBorder="1" applyAlignment="1">
      <alignment horizontal="center"/>
    </xf>
    <xf numFmtId="9" fontId="10" fillId="11" borderId="34" xfId="7" applyFont="1" applyFill="1" applyBorder="1" applyAlignment="1">
      <alignment horizontal="center"/>
    </xf>
    <xf numFmtId="0" fontId="10" fillId="11" borderId="34" xfId="2" applyFont="1" applyFill="1" applyBorder="1" applyAlignment="1">
      <alignment horizontal="center"/>
    </xf>
    <xf numFmtId="0" fontId="10" fillId="11" borderId="36" xfId="2" applyFont="1" applyFill="1" applyBorder="1" applyAlignment="1">
      <alignment horizontal="center"/>
    </xf>
    <xf numFmtId="0" fontId="4" fillId="11" borderId="38" xfId="2" applyFont="1" applyFill="1" applyBorder="1" applyAlignment="1">
      <alignment horizontal="center" vertical="center"/>
    </xf>
    <xf numFmtId="0" fontId="4" fillId="11" borderId="35" xfId="2" applyFont="1" applyFill="1" applyBorder="1" applyAlignment="1">
      <alignment horizontal="center" vertical="center"/>
    </xf>
    <xf numFmtId="0" fontId="4" fillId="11" borderId="37" xfId="2" applyFont="1" applyFill="1" applyBorder="1" applyAlignment="1">
      <alignment horizontal="center" vertical="center"/>
    </xf>
    <xf numFmtId="0" fontId="51" fillId="11" borderId="38" xfId="2" applyFont="1" applyFill="1" applyBorder="1" applyAlignment="1">
      <alignment horizontal="center" vertical="center"/>
    </xf>
    <xf numFmtId="0" fontId="51" fillId="11" borderId="35" xfId="2" applyFont="1" applyFill="1" applyBorder="1" applyAlignment="1">
      <alignment horizontal="center" vertical="center"/>
    </xf>
    <xf numFmtId="0" fontId="51" fillId="11" borderId="37" xfId="2" applyFont="1" applyFill="1" applyBorder="1" applyAlignment="1">
      <alignment horizontal="center" vertical="center"/>
    </xf>
    <xf numFmtId="164" fontId="10" fillId="13" borderId="6" xfId="2" applyNumberFormat="1" applyFont="1" applyFill="1" applyBorder="1" applyAlignment="1">
      <alignment vertical="center"/>
    </xf>
    <xf numFmtId="0" fontId="4" fillId="13" borderId="56" xfId="2" applyFont="1" applyFill="1" applyBorder="1" applyAlignment="1">
      <alignment horizontal="right" vertical="center"/>
    </xf>
    <xf numFmtId="0" fontId="4" fillId="13" borderId="36" xfId="2" applyFont="1" applyFill="1" applyBorder="1" applyAlignment="1">
      <alignment horizontal="right" vertical="center"/>
    </xf>
    <xf numFmtId="0" fontId="10" fillId="9" borderId="102" xfId="2" applyFont="1" applyFill="1" applyBorder="1" applyAlignment="1">
      <alignment horizontal="center" vertical="center"/>
    </xf>
    <xf numFmtId="0" fontId="10" fillId="9" borderId="65" xfId="2" applyFont="1" applyFill="1" applyBorder="1" applyAlignment="1">
      <alignment horizontal="center" vertical="center"/>
    </xf>
    <xf numFmtId="0" fontId="10" fillId="9" borderId="71" xfId="2" applyFont="1" applyFill="1" applyBorder="1" applyAlignment="1">
      <alignment horizontal="center" vertical="center"/>
    </xf>
    <xf numFmtId="0" fontId="10" fillId="9" borderId="77" xfId="2" applyFont="1" applyFill="1" applyBorder="1" applyAlignment="1">
      <alignment horizontal="center" vertical="center"/>
    </xf>
    <xf numFmtId="0" fontId="10" fillId="9" borderId="102" xfId="2" applyFont="1" applyFill="1" applyBorder="1" applyAlignment="1">
      <alignment horizontal="center"/>
    </xf>
    <xf numFmtId="0" fontId="10" fillId="9" borderId="65" xfId="2" applyFont="1" applyFill="1" applyBorder="1" applyAlignment="1">
      <alignment horizontal="center"/>
    </xf>
    <xf numFmtId="0" fontId="10" fillId="9" borderId="77" xfId="2" applyFont="1" applyFill="1" applyBorder="1" applyAlignment="1">
      <alignment horizontal="center"/>
    </xf>
    <xf numFmtId="0" fontId="10" fillId="9" borderId="114" xfId="2" applyFont="1" applyFill="1" applyBorder="1" applyAlignment="1">
      <alignment horizontal="center" vertical="center"/>
    </xf>
    <xf numFmtId="10" fontId="10" fillId="11" borderId="6" xfId="2" applyNumberFormat="1" applyFont="1" applyFill="1" applyBorder="1" applyAlignment="1">
      <alignment horizontal="center" vertical="center"/>
    </xf>
    <xf numFmtId="0" fontId="10" fillId="9" borderId="130" xfId="2" applyFont="1" applyFill="1" applyBorder="1" applyAlignment="1">
      <alignment horizontal="center"/>
    </xf>
    <xf numFmtId="10" fontId="10" fillId="11" borderId="6" xfId="2" applyNumberFormat="1" applyFont="1" applyFill="1" applyBorder="1" applyAlignment="1">
      <alignment horizontal="center"/>
    </xf>
    <xf numFmtId="0" fontId="10" fillId="9" borderId="103" xfId="2" applyFont="1" applyFill="1" applyBorder="1" applyAlignment="1">
      <alignment horizontal="center"/>
    </xf>
    <xf numFmtId="0" fontId="10" fillId="9" borderId="25" xfId="2" applyFont="1" applyFill="1" applyBorder="1" applyAlignment="1">
      <alignment horizontal="center"/>
    </xf>
    <xf numFmtId="0" fontId="10" fillId="9" borderId="76" xfId="2" applyFont="1" applyFill="1" applyBorder="1" applyAlignment="1">
      <alignment horizontal="center"/>
    </xf>
    <xf numFmtId="10" fontId="10" fillId="0" borderId="77" xfId="2" applyNumberFormat="1" applyFont="1" applyBorder="1" applyAlignment="1">
      <alignment horizontal="center"/>
    </xf>
    <xf numFmtId="10" fontId="10" fillId="11" borderId="45" xfId="2" applyNumberFormat="1" applyFont="1" applyFill="1" applyBorder="1" applyAlignment="1">
      <alignment horizontal="center"/>
    </xf>
    <xf numFmtId="10" fontId="10" fillId="11" borderId="46" xfId="2" applyNumberFormat="1" applyFont="1" applyFill="1" applyBorder="1" applyAlignment="1">
      <alignment horizontal="center"/>
    </xf>
    <xf numFmtId="10" fontId="10" fillId="11" borderId="58" xfId="2" applyNumberFormat="1" applyFont="1" applyFill="1" applyBorder="1" applyAlignment="1">
      <alignment horizontal="center"/>
    </xf>
    <xf numFmtId="10" fontId="10" fillId="0" borderId="61" xfId="2" applyNumberFormat="1" applyFont="1" applyBorder="1" applyAlignment="1" applyProtection="1">
      <alignment horizontal="center"/>
      <protection locked="0"/>
    </xf>
    <xf numFmtId="10" fontId="10" fillId="0" borderId="20" xfId="2" applyNumberFormat="1" applyFont="1" applyBorder="1" applyAlignment="1" applyProtection="1">
      <alignment horizontal="center"/>
      <protection locked="0"/>
    </xf>
    <xf numFmtId="0" fontId="10" fillId="9" borderId="71" xfId="2" applyFont="1" applyFill="1" applyBorder="1" applyAlignment="1">
      <alignment horizontal="center"/>
    </xf>
    <xf numFmtId="10" fontId="10" fillId="0" borderId="33" xfId="2" applyNumberFormat="1" applyFont="1" applyBorder="1" applyAlignment="1" applyProtection="1">
      <alignment horizontal="center"/>
      <protection locked="0"/>
    </xf>
    <xf numFmtId="0" fontId="10" fillId="9" borderId="114" xfId="2" applyFont="1" applyFill="1" applyBorder="1" applyAlignment="1">
      <alignment horizontal="center"/>
    </xf>
    <xf numFmtId="0" fontId="10" fillId="9" borderId="29" xfId="2" applyFont="1" applyFill="1" applyBorder="1" applyAlignment="1">
      <alignment horizontal="center"/>
    </xf>
    <xf numFmtId="0" fontId="10" fillId="9" borderId="10" xfId="2" applyFont="1" applyFill="1" applyBorder="1"/>
    <xf numFmtId="0" fontId="10" fillId="9" borderId="55" xfId="2" applyFont="1" applyFill="1" applyBorder="1" applyAlignment="1">
      <alignment horizontal="center" vertical="center"/>
    </xf>
    <xf numFmtId="10" fontId="10" fillId="0" borderId="77" xfId="2" applyNumberFormat="1" applyFont="1" applyBorder="1" applyAlignment="1">
      <alignment horizontal="center" vertical="center"/>
    </xf>
    <xf numFmtId="0" fontId="10" fillId="9" borderId="25" xfId="2" applyFont="1" applyFill="1" applyBorder="1" applyAlignment="1">
      <alignment horizontal="center" vertical="center"/>
    </xf>
    <xf numFmtId="10" fontId="10" fillId="0" borderId="20" xfId="2" applyNumberFormat="1" applyFont="1" applyBorder="1" applyAlignment="1">
      <alignment horizontal="center" vertical="center"/>
    </xf>
    <xf numFmtId="10" fontId="10" fillId="0" borderId="33" xfId="2" applyNumberFormat="1" applyFont="1" applyBorder="1" applyAlignment="1" applyProtection="1">
      <alignment horizontal="center" vertical="center"/>
      <protection locked="0"/>
    </xf>
    <xf numFmtId="10" fontId="10" fillId="0" borderId="61" xfId="2" applyNumberFormat="1" applyFont="1" applyBorder="1" applyAlignment="1">
      <alignment horizontal="center" vertical="center"/>
    </xf>
    <xf numFmtId="10" fontId="10" fillId="11" borderId="14" xfId="2" applyNumberFormat="1" applyFont="1" applyFill="1" applyBorder="1" applyAlignment="1">
      <alignment horizontal="center"/>
    </xf>
    <xf numFmtId="10" fontId="10" fillId="11" borderId="45" xfId="2" applyNumberFormat="1" applyFont="1" applyFill="1" applyBorder="1" applyAlignment="1">
      <alignment horizontal="center" vertical="center"/>
    </xf>
    <xf numFmtId="10" fontId="10" fillId="11" borderId="46" xfId="2" applyNumberFormat="1" applyFont="1" applyFill="1" applyBorder="1" applyAlignment="1">
      <alignment horizontal="center" vertical="center"/>
    </xf>
    <xf numFmtId="10" fontId="10" fillId="11" borderId="58" xfId="2" applyNumberFormat="1" applyFont="1" applyFill="1" applyBorder="1" applyAlignment="1">
      <alignment horizontal="center" vertical="center"/>
    </xf>
    <xf numFmtId="165" fontId="10" fillId="0" borderId="132" xfId="2" applyNumberFormat="1" applyFont="1" applyBorder="1" applyAlignment="1" applyProtection="1">
      <alignment horizontal="right" vertical="center"/>
      <protection locked="0"/>
    </xf>
    <xf numFmtId="165" fontId="4" fillId="12" borderId="6" xfId="2" applyNumberFormat="1" applyFont="1" applyFill="1" applyBorder="1" applyAlignment="1">
      <alignment horizontal="right" vertical="center"/>
    </xf>
    <xf numFmtId="165" fontId="10" fillId="0" borderId="132" xfId="2" applyNumberFormat="1" applyFont="1" applyBorder="1" applyAlignment="1">
      <alignment horizontal="right" vertical="center"/>
    </xf>
    <xf numFmtId="165" fontId="7" fillId="12" borderId="6" xfId="2" applyNumberFormat="1" applyFont="1" applyFill="1" applyBorder="1" applyAlignment="1">
      <alignment horizontal="right" vertical="center"/>
    </xf>
    <xf numFmtId="165" fontId="10" fillId="12" borderId="6" xfId="2" applyNumberFormat="1" applyFont="1" applyFill="1" applyBorder="1" applyAlignment="1">
      <alignment horizontal="right" vertical="center"/>
    </xf>
    <xf numFmtId="165" fontId="10" fillId="0" borderId="15" xfId="2" applyNumberFormat="1" applyFont="1" applyBorder="1" applyAlignment="1">
      <alignment horizontal="right" vertical="center"/>
    </xf>
    <xf numFmtId="165" fontId="10" fillId="5" borderId="13" xfId="2" applyNumberFormat="1" applyFont="1" applyFill="1" applyBorder="1" applyAlignment="1">
      <alignment vertical="center"/>
    </xf>
    <xf numFmtId="165" fontId="10" fillId="5" borderId="33" xfId="2" applyNumberFormat="1" applyFont="1" applyFill="1" applyBorder="1" applyAlignment="1">
      <alignment vertical="center"/>
    </xf>
    <xf numFmtId="0" fontId="4" fillId="2" borderId="0" xfId="0" applyFont="1" applyFill="1" applyAlignment="1" applyProtection="1">
      <alignment horizontal="left" vertical="center"/>
      <protection hidden="1"/>
    </xf>
    <xf numFmtId="0" fontId="4" fillId="2" borderId="0" xfId="0" applyFont="1" applyFill="1" applyAlignment="1" applyProtection="1">
      <alignment vertical="center"/>
      <protection hidden="1"/>
    </xf>
    <xf numFmtId="0" fontId="4" fillId="2" borderId="0" xfId="0" applyFont="1" applyFill="1" applyAlignment="1" applyProtection="1">
      <alignment horizontal="center" vertical="center"/>
      <protection hidden="1"/>
    </xf>
    <xf numFmtId="0" fontId="10" fillId="2" borderId="0" xfId="0" applyFont="1" applyFill="1" applyProtection="1">
      <protection hidden="1"/>
    </xf>
    <xf numFmtId="0" fontId="4" fillId="0" borderId="25" xfId="0" applyFont="1" applyBorder="1" applyAlignment="1" applyProtection="1">
      <alignment horizontal="right" vertical="center"/>
      <protection hidden="1"/>
    </xf>
    <xf numFmtId="0" fontId="5" fillId="0" borderId="65" xfId="0" applyFont="1" applyBorder="1" applyAlignment="1" applyProtection="1">
      <alignment horizontal="center" vertical="center"/>
      <protection locked="0"/>
    </xf>
    <xf numFmtId="14" fontId="4" fillId="0" borderId="65" xfId="0" applyNumberFormat="1" applyFont="1" applyBorder="1" applyAlignment="1" applyProtection="1">
      <alignment horizontal="left" vertical="center"/>
      <protection hidden="1"/>
    </xf>
    <xf numFmtId="0" fontId="5" fillId="0" borderId="25" xfId="0" applyFont="1" applyBorder="1" applyAlignment="1" applyProtection="1">
      <alignment horizontal="center" vertical="center"/>
      <protection locked="0"/>
    </xf>
    <xf numFmtId="0" fontId="4" fillId="0" borderId="65" xfId="0" applyFont="1" applyBorder="1" applyAlignment="1" applyProtection="1">
      <alignment vertical="center"/>
      <protection hidden="1"/>
    </xf>
    <xf numFmtId="0" fontId="10" fillId="2" borderId="66" xfId="0" applyFont="1" applyFill="1" applyBorder="1" applyProtection="1">
      <protection hidden="1"/>
    </xf>
    <xf numFmtId="0" fontId="4" fillId="0" borderId="64" xfId="0" applyFont="1" applyBorder="1" applyAlignment="1" applyProtection="1">
      <alignment horizontal="center" vertical="center"/>
      <protection locked="0"/>
    </xf>
    <xf numFmtId="0" fontId="4" fillId="0" borderId="0" xfId="0" applyFont="1" applyAlignment="1" applyProtection="1">
      <alignment horizontal="center" vertical="center"/>
      <protection locked="0"/>
    </xf>
    <xf numFmtId="2" fontId="10" fillId="0" borderId="0" xfId="0" applyNumberFormat="1" applyFont="1" applyProtection="1">
      <protection hidden="1"/>
    </xf>
    <xf numFmtId="167" fontId="10" fillId="0" borderId="92" xfId="0" applyNumberFormat="1" applyFont="1" applyBorder="1" applyProtection="1">
      <protection locked="0"/>
    </xf>
    <xf numFmtId="167" fontId="10" fillId="0" borderId="67" xfId="0" applyNumberFormat="1" applyFont="1" applyBorder="1" applyProtection="1">
      <protection locked="0"/>
    </xf>
    <xf numFmtId="0" fontId="3" fillId="2" borderId="0" xfId="0" applyFont="1" applyFill="1" applyProtection="1">
      <protection hidden="1"/>
    </xf>
    <xf numFmtId="167" fontId="3" fillId="0" borderId="67" xfId="0" applyNumberFormat="1" applyFont="1" applyBorder="1" applyProtection="1">
      <protection hidden="1"/>
    </xf>
    <xf numFmtId="167" fontId="3" fillId="0" borderId="67" xfId="0" applyNumberFormat="1" applyFont="1" applyBorder="1" applyAlignment="1" applyProtection="1">
      <alignment horizontal="center"/>
      <protection hidden="1"/>
    </xf>
    <xf numFmtId="167" fontId="3" fillId="0" borderId="68" xfId="0" applyNumberFormat="1" applyFont="1" applyBorder="1" applyAlignment="1" applyProtection="1">
      <alignment horizontal="center"/>
      <protection hidden="1"/>
    </xf>
    <xf numFmtId="167" fontId="3" fillId="0" borderId="92" xfId="0" applyNumberFormat="1" applyFont="1" applyBorder="1" applyProtection="1">
      <protection hidden="1"/>
    </xf>
    <xf numFmtId="0" fontId="3" fillId="2" borderId="24" xfId="0" applyFont="1" applyFill="1" applyBorder="1" applyProtection="1">
      <protection hidden="1"/>
    </xf>
    <xf numFmtId="0" fontId="3" fillId="2" borderId="66" xfId="0" applyFont="1" applyFill="1" applyBorder="1" applyProtection="1">
      <protection hidden="1"/>
    </xf>
    <xf numFmtId="43" fontId="3" fillId="0" borderId="0" xfId="1" applyFont="1" applyBorder="1" applyAlignment="1" applyProtection="1">
      <alignment horizontal="right"/>
      <protection hidden="1"/>
    </xf>
    <xf numFmtId="167" fontId="3" fillId="0" borderId="68" xfId="0" applyNumberFormat="1" applyFont="1" applyBorder="1" applyProtection="1">
      <protection hidden="1"/>
    </xf>
    <xf numFmtId="167" fontId="3" fillId="0" borderId="30" xfId="0" applyNumberFormat="1" applyFont="1" applyBorder="1" applyProtection="1">
      <protection hidden="1"/>
    </xf>
    <xf numFmtId="0" fontId="3" fillId="2" borderId="27" xfId="0" applyFont="1" applyFill="1" applyBorder="1" applyProtection="1">
      <protection hidden="1"/>
    </xf>
    <xf numFmtId="0" fontId="4" fillId="2" borderId="0" xfId="0" applyFont="1" applyFill="1" applyProtection="1">
      <protection hidden="1"/>
    </xf>
    <xf numFmtId="167" fontId="4" fillId="0" borderId="92" xfId="0" applyNumberFormat="1" applyFont="1" applyBorder="1" applyProtection="1">
      <protection hidden="1"/>
    </xf>
    <xf numFmtId="167" fontId="4" fillId="0" borderId="92" xfId="0" applyNumberFormat="1" applyFont="1" applyBorder="1" applyAlignment="1" applyProtection="1">
      <alignment horizontal="center" vertical="center"/>
      <protection hidden="1"/>
    </xf>
    <xf numFmtId="167" fontId="3" fillId="0" borderId="67" xfId="0" applyNumberFormat="1" applyFont="1" applyBorder="1" applyProtection="1">
      <protection locked="0"/>
    </xf>
    <xf numFmtId="167" fontId="4" fillId="2" borderId="0" xfId="0" applyNumberFormat="1" applyFont="1" applyFill="1" applyAlignment="1" applyProtection="1">
      <alignment vertical="center"/>
      <protection hidden="1"/>
    </xf>
    <xf numFmtId="0" fontId="4" fillId="0" borderId="92" xfId="0" applyFont="1" applyBorder="1" applyAlignment="1" applyProtection="1">
      <alignment horizontal="center"/>
      <protection locked="0"/>
    </xf>
    <xf numFmtId="0" fontId="3" fillId="0" borderId="0" xfId="0" applyFont="1" applyAlignment="1" applyProtection="1">
      <alignment horizontal="center"/>
      <protection hidden="1"/>
    </xf>
    <xf numFmtId="167" fontId="3" fillId="0" borderId="64" xfId="0" applyNumberFormat="1" applyFont="1" applyBorder="1" applyProtection="1">
      <protection hidden="1"/>
    </xf>
    <xf numFmtId="0" fontId="4" fillId="0" borderId="25" xfId="0" applyFont="1" applyBorder="1" applyAlignment="1" applyProtection="1">
      <alignment horizontal="left" vertical="center"/>
      <protection locked="0"/>
    </xf>
    <xf numFmtId="0" fontId="0" fillId="14" borderId="133" xfId="0" applyFill="1" applyBorder="1"/>
    <xf numFmtId="0" fontId="0" fillId="14" borderId="134" xfId="0" applyFill="1" applyBorder="1"/>
    <xf numFmtId="0" fontId="0" fillId="14" borderId="135" xfId="0" applyFill="1" applyBorder="1"/>
    <xf numFmtId="0" fontId="0" fillId="14" borderId="87" xfId="0" applyFill="1" applyBorder="1"/>
    <xf numFmtId="0" fontId="0" fillId="14" borderId="0" xfId="0" applyFill="1"/>
    <xf numFmtId="0" fontId="0" fillId="14" borderId="88" xfId="0" applyFill="1" applyBorder="1"/>
    <xf numFmtId="0" fontId="59" fillId="14" borderId="0" xfId="0" applyFont="1" applyFill="1" applyAlignment="1">
      <alignment horizontal="center" vertical="center"/>
    </xf>
    <xf numFmtId="0" fontId="59" fillId="19" borderId="90" xfId="0" applyFont="1" applyFill="1" applyBorder="1" applyAlignment="1">
      <alignment horizontal="center" vertical="center"/>
    </xf>
    <xf numFmtId="0" fontId="0" fillId="20" borderId="87" xfId="0" applyFill="1" applyBorder="1"/>
    <xf numFmtId="0" fontId="0" fillId="20" borderId="0" xfId="0" applyFill="1"/>
    <xf numFmtId="0" fontId="0" fillId="20" borderId="88" xfId="0" applyFill="1" applyBorder="1"/>
    <xf numFmtId="0" fontId="61" fillId="15" borderId="90" xfId="0" applyFont="1" applyFill="1" applyBorder="1" applyAlignment="1">
      <alignment horizontal="center" vertical="center"/>
    </xf>
    <xf numFmtId="0" fontId="64" fillId="20" borderId="0" xfId="0" applyFont="1" applyFill="1"/>
    <xf numFmtId="0" fontId="0" fillId="20" borderId="0" xfId="0" applyFill="1" applyAlignment="1">
      <alignment horizontal="center"/>
    </xf>
    <xf numFmtId="0" fontId="0" fillId="22" borderId="90" xfId="0" applyFill="1" applyBorder="1" applyAlignment="1">
      <alignment horizontal="center" vertical="center"/>
    </xf>
    <xf numFmtId="0" fontId="0" fillId="20" borderId="0" xfId="0" applyFill="1" applyAlignment="1">
      <alignment horizontal="center" vertical="center"/>
    </xf>
    <xf numFmtId="0" fontId="0" fillId="21" borderId="87" xfId="0" applyFill="1" applyBorder="1"/>
    <xf numFmtId="0" fontId="0" fillId="21" borderId="0" xfId="0" applyFill="1"/>
    <xf numFmtId="0" fontId="67" fillId="21" borderId="32" xfId="0" applyFont="1" applyFill="1" applyBorder="1" applyAlignment="1">
      <alignment vertical="center"/>
    </xf>
    <xf numFmtId="0" fontId="67" fillId="21" borderId="134" xfId="0" applyFont="1" applyFill="1" applyBorder="1" applyAlignment="1">
      <alignment vertical="center"/>
    </xf>
    <xf numFmtId="0" fontId="0" fillId="21" borderId="88" xfId="0" applyFill="1" applyBorder="1"/>
    <xf numFmtId="0" fontId="68" fillId="6" borderId="90" xfId="0" applyFont="1" applyFill="1" applyBorder="1" applyAlignment="1">
      <alignment horizontal="center" vertical="center"/>
    </xf>
    <xf numFmtId="0" fontId="27" fillId="23" borderId="134" xfId="0" applyFont="1" applyFill="1" applyBorder="1" applyAlignment="1">
      <alignment horizontal="center" vertical="center"/>
    </xf>
    <xf numFmtId="0" fontId="0" fillId="23" borderId="87" xfId="0" applyFill="1" applyBorder="1"/>
    <xf numFmtId="0" fontId="0" fillId="23" borderId="0" xfId="0" applyFill="1"/>
    <xf numFmtId="0" fontId="0" fillId="23" borderId="88" xfId="0" applyFill="1" applyBorder="1"/>
    <xf numFmtId="0" fontId="27" fillId="23" borderId="0" xfId="0" applyFont="1" applyFill="1" applyAlignment="1">
      <alignment horizontal="center" vertical="center"/>
    </xf>
    <xf numFmtId="0" fontId="27" fillId="23" borderId="80" xfId="0" applyFont="1" applyFill="1" applyBorder="1" applyAlignment="1">
      <alignment horizontal="center" vertical="center"/>
    </xf>
    <xf numFmtId="0" fontId="0" fillId="24" borderId="87" xfId="0" applyFill="1" applyBorder="1"/>
    <xf numFmtId="0" fontId="0" fillId="24" borderId="0" xfId="0" applyFill="1"/>
    <xf numFmtId="0" fontId="0" fillId="24" borderId="88" xfId="0" applyFill="1" applyBorder="1"/>
    <xf numFmtId="0" fontId="71" fillId="24" borderId="0" xfId="0" applyFont="1" applyFill="1" applyAlignment="1">
      <alignment horizontal="center" vertical="center"/>
    </xf>
    <xf numFmtId="0" fontId="0" fillId="24" borderId="0" xfId="0" applyFill="1" applyAlignment="1">
      <alignment vertical="center"/>
    </xf>
    <xf numFmtId="0" fontId="0" fillId="23" borderId="0" xfId="0" applyFill="1" applyAlignment="1">
      <alignment horizontal="center" vertical="center"/>
    </xf>
    <xf numFmtId="0" fontId="0" fillId="23" borderId="135" xfId="0" applyFill="1" applyBorder="1"/>
    <xf numFmtId="0" fontId="0" fillId="23" borderId="134" xfId="0" applyFill="1" applyBorder="1" applyAlignment="1">
      <alignment horizontal="center" vertical="center"/>
    </xf>
    <xf numFmtId="0" fontId="0" fillId="24" borderId="134" xfId="0" applyFill="1" applyBorder="1" applyAlignment="1">
      <alignment wrapText="1"/>
    </xf>
    <xf numFmtId="0" fontId="0" fillId="24" borderId="0" xfId="0" applyFill="1" applyAlignment="1">
      <alignment wrapText="1"/>
    </xf>
    <xf numFmtId="0" fontId="62" fillId="23" borderId="0" xfId="0" applyFont="1" applyFill="1" applyAlignment="1">
      <alignment horizontal="center"/>
    </xf>
    <xf numFmtId="49" fontId="0" fillId="23" borderId="0" xfId="0" applyNumberFormat="1" applyFill="1"/>
    <xf numFmtId="0" fontId="72" fillId="14" borderId="133" xfId="0" applyFont="1" applyFill="1" applyBorder="1"/>
    <xf numFmtId="0" fontId="73" fillId="14" borderId="139" xfId="0" applyFont="1" applyFill="1" applyBorder="1"/>
    <xf numFmtId="0" fontId="0" fillId="14" borderId="32" xfId="0" applyFill="1" applyBorder="1"/>
    <xf numFmtId="0" fontId="0" fillId="14" borderId="98" xfId="0" applyFill="1" applyBorder="1"/>
    <xf numFmtId="0" fontId="0" fillId="26" borderId="133" xfId="0" applyFill="1" applyBorder="1" applyAlignment="1">
      <alignment vertical="center"/>
    </xf>
    <xf numFmtId="0" fontId="0" fillId="26" borderId="134" xfId="0" applyFill="1" applyBorder="1"/>
    <xf numFmtId="0" fontId="0" fillId="26" borderId="135" xfId="0" applyFill="1" applyBorder="1"/>
    <xf numFmtId="0" fontId="0" fillId="26" borderId="87" xfId="0" applyFill="1" applyBorder="1" applyAlignment="1">
      <alignment vertical="center"/>
    </xf>
    <xf numFmtId="0" fontId="0" fillId="26" borderId="0" xfId="0" applyFill="1"/>
    <xf numFmtId="0" fontId="0" fillId="26" borderId="0" xfId="0" applyFill="1" applyAlignment="1">
      <alignment horizontal="center" vertical="center"/>
    </xf>
    <xf numFmtId="0" fontId="0" fillId="26" borderId="88" xfId="0" applyFill="1" applyBorder="1"/>
    <xf numFmtId="0" fontId="0" fillId="26" borderId="134" xfId="0" applyFill="1" applyBorder="1" applyAlignment="1">
      <alignment horizontal="center" vertical="center"/>
    </xf>
    <xf numFmtId="0" fontId="0" fillId="26" borderId="87" xfId="0" applyFill="1" applyBorder="1"/>
    <xf numFmtId="0" fontId="0" fillId="26" borderId="139" xfId="0" applyFill="1" applyBorder="1"/>
    <xf numFmtId="0" fontId="0" fillId="26" borderId="32" xfId="0" applyFill="1" applyBorder="1"/>
    <xf numFmtId="0" fontId="0" fillId="26" borderId="98" xfId="0" applyFill="1" applyBorder="1"/>
    <xf numFmtId="0" fontId="0" fillId="26" borderId="133" xfId="0" applyFill="1" applyBorder="1"/>
    <xf numFmtId="0" fontId="0" fillId="26" borderId="0" xfId="0" applyFill="1" applyAlignment="1">
      <alignment horizontal="left" vertical="center"/>
    </xf>
    <xf numFmtId="0" fontId="0" fillId="26" borderId="134" xfId="0" applyFill="1" applyBorder="1" applyAlignment="1">
      <alignment vertical="center"/>
    </xf>
    <xf numFmtId="0" fontId="0" fillId="26" borderId="0" xfId="0" applyFill="1" applyAlignment="1">
      <alignment vertical="center"/>
    </xf>
    <xf numFmtId="0" fontId="0" fillId="23" borderId="32" xfId="0" applyFill="1" applyBorder="1" applyAlignment="1">
      <alignment horizontal="center"/>
    </xf>
    <xf numFmtId="0" fontId="0" fillId="27" borderId="133" xfId="0" applyFill="1" applyBorder="1"/>
    <xf numFmtId="0" fontId="0" fillId="27" borderId="134" xfId="0" applyFill="1" applyBorder="1"/>
    <xf numFmtId="0" fontId="0" fillId="27" borderId="135" xfId="0" applyFill="1" applyBorder="1"/>
    <xf numFmtId="0" fontId="0" fillId="27" borderId="87" xfId="0" applyFill="1" applyBorder="1"/>
    <xf numFmtId="0" fontId="75" fillId="27" borderId="0" xfId="0" applyFont="1" applyFill="1" applyAlignment="1">
      <alignment horizontal="center" vertical="top"/>
    </xf>
    <xf numFmtId="0" fontId="11" fillId="27" borderId="0" xfId="0" applyFont="1" applyFill="1" applyAlignment="1">
      <alignment horizontal="center" vertical="center"/>
    </xf>
    <xf numFmtId="0" fontId="11" fillId="27" borderId="0" xfId="0" applyFont="1" applyFill="1" applyAlignment="1">
      <alignment vertical="center"/>
    </xf>
    <xf numFmtId="0" fontId="80" fillId="27" borderId="88" xfId="0" applyFont="1" applyFill="1" applyBorder="1"/>
    <xf numFmtId="0" fontId="11" fillId="27" borderId="0" xfId="0" applyFont="1" applyFill="1" applyAlignment="1">
      <alignment horizontal="center"/>
    </xf>
    <xf numFmtId="0" fontId="78" fillId="27" borderId="0" xfId="0" applyFont="1" applyFill="1" applyAlignment="1">
      <alignment horizontal="center" vertical="center"/>
    </xf>
    <xf numFmtId="0" fontId="11" fillId="27" borderId="0" xfId="0" applyFont="1" applyFill="1" applyAlignment="1">
      <alignment horizontal="left" vertical="center"/>
    </xf>
    <xf numFmtId="0" fontId="78" fillId="27" borderId="88" xfId="0" applyFont="1" applyFill="1" applyBorder="1"/>
    <xf numFmtId="0" fontId="0" fillId="27" borderId="139" xfId="0" applyFill="1" applyBorder="1"/>
    <xf numFmtId="0" fontId="0" fillId="27" borderId="32" xfId="0" applyFill="1" applyBorder="1"/>
    <xf numFmtId="0" fontId="0" fillId="27" borderId="98" xfId="0" applyFill="1" applyBorder="1"/>
    <xf numFmtId="0" fontId="11" fillId="23" borderId="0" xfId="0" applyFont="1" applyFill="1"/>
    <xf numFmtId="0" fontId="82" fillId="23" borderId="0" xfId="0" applyFont="1" applyFill="1"/>
    <xf numFmtId="0" fontId="83" fillId="14" borderId="133" xfId="0" applyFont="1" applyFill="1" applyBorder="1"/>
    <xf numFmtId="0" fontId="0" fillId="14" borderId="87" xfId="0" applyFill="1" applyBorder="1" applyAlignment="1">
      <alignment vertical="center"/>
    </xf>
    <xf numFmtId="0" fontId="0" fillId="14" borderId="87" xfId="0" applyFill="1" applyBorder="1" applyAlignment="1">
      <alignment horizontal="center"/>
    </xf>
    <xf numFmtId="0" fontId="0" fillId="14" borderId="0" xfId="0" applyFill="1" applyAlignment="1">
      <alignment horizontal="center"/>
    </xf>
    <xf numFmtId="0" fontId="83" fillId="14" borderId="87" xfId="0" applyFont="1" applyFill="1" applyBorder="1"/>
    <xf numFmtId="0" fontId="0" fillId="14" borderId="0" xfId="0" applyFill="1" applyAlignment="1">
      <alignment horizontal="left"/>
    </xf>
    <xf numFmtId="0" fontId="84" fillId="14" borderId="0" xfId="0" applyFont="1" applyFill="1"/>
    <xf numFmtId="0" fontId="0" fillId="14" borderId="139" xfId="0" applyFill="1" applyBorder="1" applyAlignment="1">
      <alignment horizontal="right"/>
    </xf>
    <xf numFmtId="0" fontId="0" fillId="23" borderId="0" xfId="0" applyFill="1" applyAlignment="1">
      <alignment horizontal="right"/>
    </xf>
    <xf numFmtId="0" fontId="0" fillId="28" borderId="87" xfId="0" applyFill="1" applyBorder="1"/>
    <xf numFmtId="0" fontId="0" fillId="28" borderId="0" xfId="0" applyFill="1"/>
    <xf numFmtId="0" fontId="0" fillId="28" borderId="88" xfId="0" applyFill="1" applyBorder="1"/>
    <xf numFmtId="0" fontId="61" fillId="28" borderId="0" xfId="0" applyFont="1" applyFill="1" applyAlignment="1">
      <alignment vertical="center"/>
    </xf>
    <xf numFmtId="0" fontId="86" fillId="28" borderId="0" xfId="0" applyFont="1" applyFill="1" applyAlignment="1">
      <alignment vertical="center"/>
    </xf>
    <xf numFmtId="0" fontId="70" fillId="28" borderId="0" xfId="0" applyFont="1" applyFill="1"/>
    <xf numFmtId="0" fontId="0" fillId="29" borderId="87" xfId="0" applyFill="1" applyBorder="1"/>
    <xf numFmtId="0" fontId="0" fillId="29" borderId="0" xfId="0" applyFill="1"/>
    <xf numFmtId="0" fontId="0" fillId="29" borderId="88" xfId="0" applyFill="1" applyBorder="1"/>
    <xf numFmtId="0" fontId="27" fillId="29" borderId="0" xfId="0" applyFont="1" applyFill="1" applyAlignment="1">
      <alignment vertical="center"/>
    </xf>
    <xf numFmtId="0" fontId="70" fillId="29" borderId="0" xfId="0" applyFont="1" applyFill="1"/>
    <xf numFmtId="0" fontId="27" fillId="29" borderId="0" xfId="0" applyFont="1" applyFill="1"/>
    <xf numFmtId="0" fontId="27" fillId="29" borderId="0" xfId="0" applyFont="1" applyFill="1" applyAlignment="1">
      <alignment horizontal="right" vertical="center"/>
    </xf>
    <xf numFmtId="0" fontId="87" fillId="29" borderId="0" xfId="0" applyFont="1" applyFill="1"/>
    <xf numFmtId="0" fontId="0" fillId="0" borderId="87" xfId="0" applyBorder="1"/>
    <xf numFmtId="0" fontId="0" fillId="0" borderId="88" xfId="0" applyBorder="1"/>
    <xf numFmtId="2" fontId="10" fillId="0" borderId="68" xfId="0" applyNumberFormat="1" applyFont="1" applyBorder="1" applyAlignment="1">
      <alignment horizontal="center"/>
    </xf>
    <xf numFmtId="2" fontId="53" fillId="30" borderId="64" xfId="4" applyNumberFormat="1" applyFont="1" applyFill="1" applyBorder="1" applyAlignment="1">
      <alignment horizontal="center" vertical="center"/>
    </xf>
    <xf numFmtId="0" fontId="53" fillId="30" borderId="75" xfId="4" applyFont="1" applyFill="1" applyBorder="1" applyAlignment="1">
      <alignment horizontal="center" vertical="center"/>
    </xf>
    <xf numFmtId="2" fontId="53" fillId="0" borderId="46" xfId="4" applyNumberFormat="1" applyFont="1" applyBorder="1" applyAlignment="1">
      <alignment horizontal="center" vertical="center"/>
    </xf>
    <xf numFmtId="2" fontId="53" fillId="0" borderId="58" xfId="4" applyNumberFormat="1" applyFont="1" applyBorder="1" applyAlignment="1">
      <alignment horizontal="center" vertical="center"/>
    </xf>
    <xf numFmtId="2" fontId="54" fillId="30" borderId="25" xfId="4" applyNumberFormat="1" applyFont="1" applyFill="1" applyBorder="1" applyAlignment="1">
      <alignment horizontal="center" vertical="center"/>
    </xf>
    <xf numFmtId="165" fontId="53" fillId="0" borderId="46" xfId="4" applyNumberFormat="1" applyFont="1" applyBorder="1" applyAlignment="1">
      <alignment horizontal="center" vertical="center"/>
    </xf>
    <xf numFmtId="165" fontId="53" fillId="0" borderId="58" xfId="4" applyNumberFormat="1" applyFont="1" applyBorder="1" applyAlignment="1">
      <alignment horizontal="center" vertical="center"/>
    </xf>
    <xf numFmtId="2" fontId="54" fillId="30" borderId="64" xfId="4" applyNumberFormat="1" applyFont="1" applyFill="1" applyBorder="1" applyAlignment="1">
      <alignment horizontal="center" vertical="center"/>
    </xf>
    <xf numFmtId="0" fontId="54" fillId="30" borderId="75" xfId="4" applyFont="1" applyFill="1" applyBorder="1" applyAlignment="1">
      <alignment horizontal="center" vertical="center"/>
    </xf>
    <xf numFmtId="0" fontId="10" fillId="0" borderId="8" xfId="0" applyFont="1" applyBorder="1" applyAlignment="1">
      <alignment horizontal="center"/>
    </xf>
    <xf numFmtId="0" fontId="10" fillId="0" borderId="18" xfId="0" applyFont="1" applyBorder="1" applyAlignment="1">
      <alignment horizontal="center"/>
    </xf>
    <xf numFmtId="0" fontId="4" fillId="0" borderId="6" xfId="0" applyFont="1" applyBorder="1" applyAlignment="1">
      <alignment horizontal="center" vertical="center" wrapText="1"/>
    </xf>
    <xf numFmtId="166" fontId="10" fillId="0" borderId="75" xfId="0" applyNumberFormat="1" applyFont="1" applyBorder="1" applyAlignment="1">
      <alignment horizontal="center" vertical="center"/>
    </xf>
    <xf numFmtId="169" fontId="10" fillId="0" borderId="38" xfId="8" applyNumberFormat="1" applyFont="1" applyBorder="1"/>
    <xf numFmtId="166" fontId="10" fillId="0" borderId="110" xfId="0" applyNumberFormat="1" applyFont="1" applyBorder="1" applyAlignment="1">
      <alignment horizontal="center"/>
    </xf>
    <xf numFmtId="2" fontId="10" fillId="0" borderId="67" xfId="0" applyNumberFormat="1" applyFont="1" applyBorder="1" applyAlignment="1">
      <alignment horizontal="center"/>
    </xf>
    <xf numFmtId="169" fontId="10" fillId="0" borderId="92" xfId="0" applyNumberFormat="1" applyFont="1" applyBorder="1"/>
    <xf numFmtId="43" fontId="10" fillId="0" borderId="55" xfId="1" applyFont="1" applyBorder="1"/>
    <xf numFmtId="2" fontId="3" fillId="30" borderId="2" xfId="0" applyNumberFormat="1" applyFont="1" applyFill="1" applyBorder="1" applyAlignment="1">
      <alignment horizontal="center" vertical="center"/>
    </xf>
    <xf numFmtId="2" fontId="3" fillId="30" borderId="17" xfId="0" applyNumberFormat="1" applyFont="1" applyFill="1" applyBorder="1" applyAlignment="1">
      <alignment horizontal="center" vertical="center"/>
    </xf>
    <xf numFmtId="0" fontId="4" fillId="0" borderId="13" xfId="0" applyFont="1" applyBorder="1" applyAlignment="1">
      <alignment vertical="center"/>
    </xf>
    <xf numFmtId="0" fontId="4" fillId="0" borderId="33" xfId="0" applyFont="1" applyBorder="1" applyAlignment="1">
      <alignment horizontal="left" vertical="center"/>
    </xf>
    <xf numFmtId="2" fontId="3" fillId="30" borderId="121" xfId="0" applyNumberFormat="1" applyFont="1" applyFill="1" applyBorder="1" applyAlignment="1" applyProtection="1">
      <alignment horizontal="center" vertical="center"/>
      <protection locked="0"/>
    </xf>
    <xf numFmtId="166" fontId="3" fillId="0" borderId="121" xfId="0" applyNumberFormat="1" applyFont="1" applyBorder="1" applyAlignment="1" applyProtection="1">
      <alignment horizontal="center" vertical="center"/>
      <protection locked="0"/>
    </xf>
    <xf numFmtId="2" fontId="3" fillId="30" borderId="121" xfId="0" applyNumberFormat="1" applyFont="1" applyFill="1" applyBorder="1" applyAlignment="1">
      <alignment horizontal="center" vertical="center"/>
    </xf>
    <xf numFmtId="2" fontId="3" fillId="30" borderId="122" xfId="0" applyNumberFormat="1" applyFont="1" applyFill="1" applyBorder="1" applyAlignment="1">
      <alignment horizontal="center" vertical="center"/>
    </xf>
    <xf numFmtId="2" fontId="3" fillId="30" borderId="123" xfId="0" applyNumberFormat="1" applyFont="1" applyFill="1" applyBorder="1" applyAlignment="1">
      <alignment horizontal="center" vertical="center"/>
    </xf>
    <xf numFmtId="0" fontId="54" fillId="0" borderId="150" xfId="10" applyFont="1" applyBorder="1" applyAlignment="1">
      <alignment horizontal="left" vertical="center"/>
    </xf>
    <xf numFmtId="0" fontId="54" fillId="0" borderId="127" xfId="10" applyFont="1" applyBorder="1" applyAlignment="1">
      <alignment horizontal="left" vertical="center"/>
    </xf>
    <xf numFmtId="2" fontId="3" fillId="0" borderId="66" xfId="0" applyNumberFormat="1" applyFont="1" applyBorder="1" applyAlignment="1" applyProtection="1">
      <alignment horizontal="center" vertical="center"/>
      <protection locked="0"/>
    </xf>
    <xf numFmtId="2" fontId="3" fillId="0" borderId="151" xfId="0" applyNumberFormat="1" applyFont="1" applyBorder="1" applyAlignment="1" applyProtection="1">
      <alignment horizontal="center" vertical="center"/>
      <protection locked="0"/>
    </xf>
    <xf numFmtId="1" fontId="7" fillId="0" borderId="152" xfId="0" applyNumberFormat="1" applyFont="1" applyBorder="1" applyAlignment="1">
      <alignment horizontal="center" vertical="center"/>
    </xf>
    <xf numFmtId="0" fontId="54" fillId="0" borderId="153" xfId="10" applyFont="1" applyBorder="1" applyAlignment="1">
      <alignment horizontal="left" vertical="center"/>
    </xf>
    <xf numFmtId="1" fontId="7" fillId="0" borderId="126" xfId="0" applyNumberFormat="1" applyFont="1" applyBorder="1" applyAlignment="1">
      <alignment horizontal="center" vertical="center"/>
    </xf>
    <xf numFmtId="0" fontId="3" fillId="0" borderId="66" xfId="0" applyFont="1" applyBorder="1" applyAlignment="1" applyProtection="1">
      <alignment horizontal="center" vertical="center"/>
      <protection locked="0"/>
    </xf>
    <xf numFmtId="2" fontId="3" fillId="30" borderId="74" xfId="0" applyNumberFormat="1" applyFont="1" applyFill="1" applyBorder="1" applyProtection="1">
      <protection locked="0"/>
    </xf>
    <xf numFmtId="2" fontId="3" fillId="30" borderId="74" xfId="0" applyNumberFormat="1" applyFont="1" applyFill="1" applyBorder="1" applyAlignment="1">
      <alignment horizontal="center" vertical="center"/>
    </xf>
    <xf numFmtId="2" fontId="3" fillId="30" borderId="124" xfId="0" applyNumberFormat="1" applyFont="1" applyFill="1" applyBorder="1" applyAlignment="1">
      <alignment horizontal="center" vertical="center"/>
    </xf>
    <xf numFmtId="2" fontId="3" fillId="30" borderId="70" xfId="0" applyNumberFormat="1" applyFont="1" applyFill="1" applyBorder="1" applyAlignment="1">
      <alignment horizontal="center" vertical="center"/>
    </xf>
    <xf numFmtId="2" fontId="3" fillId="30" borderId="125" xfId="0" applyNumberFormat="1" applyFont="1" applyFill="1" applyBorder="1" applyAlignment="1">
      <alignment horizontal="center" vertical="center"/>
    </xf>
    <xf numFmtId="0" fontId="4" fillId="0" borderId="13" xfId="0" applyFont="1" applyBorder="1" applyAlignment="1" applyProtection="1">
      <alignment vertical="center"/>
      <protection locked="0"/>
    </xf>
    <xf numFmtId="0" fontId="4" fillId="0" borderId="13" xfId="0" applyFont="1" applyBorder="1" applyAlignment="1">
      <alignment vertical="center" wrapText="1"/>
    </xf>
    <xf numFmtId="0" fontId="4" fillId="0" borderId="13" xfId="2" applyFont="1" applyBorder="1" applyAlignment="1">
      <alignment vertical="center"/>
    </xf>
    <xf numFmtId="0" fontId="4" fillId="0" borderId="33" xfId="2" applyFont="1" applyBorder="1" applyAlignment="1">
      <alignment vertical="center"/>
    </xf>
    <xf numFmtId="0" fontId="4" fillId="0" borderId="14" xfId="2" applyFont="1" applyBorder="1" applyAlignment="1">
      <alignment vertical="center"/>
    </xf>
    <xf numFmtId="0" fontId="7" fillId="30"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30" borderId="15" xfId="0" applyFont="1" applyFill="1" applyBorder="1" applyAlignment="1">
      <alignment horizontal="center" vertical="center" wrapText="1"/>
    </xf>
    <xf numFmtId="0" fontId="7" fillId="0" borderId="15" xfId="0" applyFont="1" applyBorder="1" applyAlignment="1">
      <alignment horizontal="center" vertical="center" wrapText="1"/>
    </xf>
    <xf numFmtId="0" fontId="54" fillId="0" borderId="39" xfId="4" applyFont="1" applyBorder="1" applyAlignment="1">
      <alignment horizontal="center" vertical="center"/>
    </xf>
    <xf numFmtId="0" fontId="54" fillId="0" borderId="68" xfId="4" applyFont="1" applyBorder="1" applyAlignment="1">
      <alignment horizontal="center" vertical="center"/>
    </xf>
    <xf numFmtId="0" fontId="54" fillId="0" borderId="30" xfId="4" applyFont="1" applyBorder="1" applyAlignment="1">
      <alignment horizontal="center" vertical="center"/>
    </xf>
    <xf numFmtId="2" fontId="53" fillId="0" borderId="47" xfId="4" applyNumberFormat="1" applyFont="1" applyBorder="1" applyAlignment="1">
      <alignment horizontal="center" vertical="center"/>
    </xf>
    <xf numFmtId="9" fontId="54" fillId="0" borderId="27" xfId="5" applyFont="1" applyBorder="1" applyAlignment="1">
      <alignment horizontal="center" vertical="center"/>
    </xf>
    <xf numFmtId="2" fontId="54" fillId="30" borderId="30" xfId="4" applyNumberFormat="1" applyFont="1" applyFill="1" applyBorder="1" applyAlignment="1">
      <alignment horizontal="center" vertical="center"/>
    </xf>
    <xf numFmtId="165" fontId="53" fillId="0" borderId="47" xfId="4" applyNumberFormat="1" applyFont="1" applyBorder="1" applyAlignment="1">
      <alignment horizontal="center" vertical="center"/>
    </xf>
    <xf numFmtId="2" fontId="54" fillId="0" borderId="27" xfId="4" applyNumberFormat="1" applyFont="1" applyBorder="1" applyAlignment="1">
      <alignment horizontal="center" vertical="center"/>
    </xf>
    <xf numFmtId="2" fontId="54" fillId="0" borderId="68" xfId="4" applyNumberFormat="1" applyFont="1" applyBorder="1" applyAlignment="1">
      <alignment horizontal="center" vertical="center"/>
    </xf>
    <xf numFmtId="2" fontId="53" fillId="30" borderId="68" xfId="4" applyNumberFormat="1" applyFont="1" applyFill="1" applyBorder="1" applyAlignment="1">
      <alignment horizontal="center" vertical="center"/>
    </xf>
    <xf numFmtId="2" fontId="54" fillId="0" borderId="30" xfId="4" applyNumberFormat="1" applyFont="1" applyBorder="1" applyAlignment="1">
      <alignment horizontal="center" vertical="center"/>
    </xf>
    <xf numFmtId="2" fontId="54" fillId="30" borderId="68" xfId="4" applyNumberFormat="1" applyFont="1" applyFill="1" applyBorder="1" applyAlignment="1">
      <alignment horizontal="center" vertical="center"/>
    </xf>
    <xf numFmtId="2" fontId="53" fillId="0" borderId="68" xfId="4" applyNumberFormat="1" applyFont="1" applyBorder="1" applyAlignment="1">
      <alignment horizontal="center" vertical="center"/>
    </xf>
    <xf numFmtId="0" fontId="24" fillId="0" borderId="85" xfId="4" applyBorder="1" applyAlignment="1">
      <alignment horizontal="center"/>
    </xf>
    <xf numFmtId="0" fontId="20" fillId="0" borderId="85" xfId="4" applyFont="1" applyBorder="1" applyAlignment="1">
      <alignment horizontal="center"/>
    </xf>
    <xf numFmtId="0" fontId="24" fillId="0" borderId="154" xfId="4" applyBorder="1" applyAlignment="1">
      <alignment horizontal="center" vertical="center"/>
    </xf>
    <xf numFmtId="0" fontId="20" fillId="0" borderId="154" xfId="4" applyFont="1" applyBorder="1" applyAlignment="1">
      <alignment horizontal="center" vertical="center"/>
    </xf>
    <xf numFmtId="0" fontId="24" fillId="0" borderId="155" xfId="4" applyBorder="1" applyAlignment="1">
      <alignment horizontal="center"/>
    </xf>
    <xf numFmtId="0" fontId="24" fillId="0" borderId="156" xfId="4" applyBorder="1" applyAlignment="1">
      <alignment horizontal="center" vertical="center"/>
    </xf>
    <xf numFmtId="0" fontId="24" fillId="0" borderId="157" xfId="4" applyBorder="1" applyAlignment="1">
      <alignment horizontal="center"/>
    </xf>
    <xf numFmtId="0" fontId="24" fillId="0" borderId="158" xfId="4" applyBorder="1" applyAlignment="1">
      <alignment horizontal="center" vertical="center"/>
    </xf>
    <xf numFmtId="0" fontId="24" fillId="0" borderId="84" xfId="4" applyBorder="1" applyAlignment="1">
      <alignment horizontal="center"/>
    </xf>
    <xf numFmtId="0" fontId="24" fillId="0" borderId="129" xfId="4" applyBorder="1" applyAlignment="1">
      <alignment horizontal="center" vertical="center"/>
    </xf>
    <xf numFmtId="2" fontId="20" fillId="9" borderId="160" xfId="4" applyNumberFormat="1" applyFont="1" applyFill="1" applyBorder="1" applyAlignment="1">
      <alignment vertical="center"/>
    </xf>
    <xf numFmtId="0" fontId="20" fillId="9" borderId="161" xfId="4" applyFont="1" applyFill="1" applyBorder="1" applyAlignment="1">
      <alignment horizontal="center"/>
    </xf>
    <xf numFmtId="2" fontId="20" fillId="9" borderId="160" xfId="4" applyNumberFormat="1" applyFont="1" applyFill="1" applyBorder="1" applyAlignment="1">
      <alignment horizontal="center"/>
    </xf>
    <xf numFmtId="0" fontId="20" fillId="0" borderId="162" xfId="4" applyFont="1" applyBorder="1" applyAlignment="1">
      <alignment horizontal="center"/>
    </xf>
    <xf numFmtId="0" fontId="20" fillId="9" borderId="163" xfId="4" applyFont="1" applyFill="1" applyBorder="1" applyAlignment="1">
      <alignment horizontal="center"/>
    </xf>
    <xf numFmtId="0" fontId="19" fillId="0" borderId="14" xfId="2" applyBorder="1"/>
    <xf numFmtId="0" fontId="7" fillId="30" borderId="5" xfId="0" applyFont="1" applyFill="1" applyBorder="1" applyAlignment="1">
      <alignment horizontal="center" vertical="center" wrapText="1"/>
    </xf>
    <xf numFmtId="2" fontId="7" fillId="0" borderId="152" xfId="0" applyNumberFormat="1" applyFont="1" applyBorder="1" applyAlignment="1">
      <alignment horizontal="center" vertical="center"/>
    </xf>
    <xf numFmtId="0" fontId="10" fillId="0" borderId="164" xfId="0" applyFont="1" applyBorder="1" applyAlignment="1">
      <alignment horizontal="center" vertical="center"/>
    </xf>
    <xf numFmtId="0" fontId="19" fillId="0" borderId="6" xfId="2" applyBorder="1"/>
    <xf numFmtId="0" fontId="20" fillId="0" borderId="14" xfId="2" applyFont="1" applyBorder="1" applyAlignment="1">
      <alignment horizontal="center" vertical="center"/>
    </xf>
    <xf numFmtId="0" fontId="19" fillId="0" borderId="14" xfId="2" applyBorder="1" applyAlignment="1">
      <alignment horizontal="center" vertical="center"/>
    </xf>
    <xf numFmtId="0" fontId="19" fillId="0" borderId="114" xfId="2" applyBorder="1" applyAlignment="1">
      <alignment horizontal="center" vertical="center"/>
    </xf>
    <xf numFmtId="0" fontId="19" fillId="0" borderId="6" xfId="2" applyBorder="1" applyAlignment="1">
      <alignment horizontal="center" vertical="center"/>
    </xf>
    <xf numFmtId="0" fontId="19" fillId="0" borderId="0" xfId="11"/>
    <xf numFmtId="0" fontId="88" fillId="0" borderId="0" xfId="11" applyFont="1" applyAlignment="1">
      <alignment horizontal="center" vertical="center"/>
    </xf>
    <xf numFmtId="0" fontId="19" fillId="0" borderId="25" xfId="11" applyBorder="1" applyAlignment="1">
      <alignment horizontal="right" vertical="center"/>
    </xf>
    <xf numFmtId="1" fontId="19" fillId="31" borderId="20" xfId="11" applyNumberFormat="1" applyFill="1" applyBorder="1" applyAlignment="1">
      <alignment horizontal="left" vertical="center"/>
    </xf>
    <xf numFmtId="0" fontId="19" fillId="31" borderId="20" xfId="11" applyFill="1" applyBorder="1" applyAlignment="1">
      <alignment horizontal="right" vertical="center"/>
    </xf>
    <xf numFmtId="14" fontId="19" fillId="31" borderId="65" xfId="11" applyNumberFormat="1" applyFill="1" applyBorder="1" applyAlignment="1">
      <alignment horizontal="left" vertical="center"/>
    </xf>
    <xf numFmtId="0" fontId="19" fillId="31" borderId="0" xfId="11" applyFill="1" applyAlignment="1">
      <alignment vertical="center"/>
    </xf>
    <xf numFmtId="0" fontId="19" fillId="16" borderId="64" xfId="11" applyFill="1" applyBorder="1" applyAlignment="1">
      <alignment horizontal="center" vertical="center"/>
    </xf>
    <xf numFmtId="10" fontId="19" fillId="31" borderId="167" xfId="11" applyNumberFormat="1" applyFill="1" applyBorder="1" applyAlignment="1">
      <alignment horizontal="center" vertical="center"/>
    </xf>
    <xf numFmtId="165" fontId="19" fillId="31" borderId="167" xfId="11" applyNumberFormat="1" applyFill="1" applyBorder="1" applyAlignment="1">
      <alignment horizontal="right" vertical="center"/>
    </xf>
    <xf numFmtId="0" fontId="22" fillId="0" borderId="0" xfId="11" applyFont="1"/>
    <xf numFmtId="10" fontId="19" fillId="16" borderId="127" xfId="11" applyNumberFormat="1" applyFill="1" applyBorder="1" applyAlignment="1" applyProtection="1">
      <alignment horizontal="center" vertical="center"/>
      <protection locked="0"/>
    </xf>
    <xf numFmtId="174" fontId="19" fillId="31" borderId="127" xfId="11" applyNumberFormat="1" applyFill="1" applyBorder="1" applyAlignment="1" applyProtection="1">
      <alignment horizontal="center" vertical="center"/>
      <protection locked="0"/>
    </xf>
    <xf numFmtId="165" fontId="19" fillId="31" borderId="127" xfId="11" applyNumberFormat="1" applyFill="1" applyBorder="1" applyAlignment="1">
      <alignment horizontal="right" vertical="center"/>
    </xf>
    <xf numFmtId="0" fontId="22" fillId="16" borderId="0" xfId="11" applyFont="1" applyFill="1"/>
    <xf numFmtId="10" fontId="19" fillId="31" borderId="127" xfId="11" applyNumberFormat="1" applyFill="1" applyBorder="1" applyAlignment="1">
      <alignment horizontal="center" vertical="center"/>
    </xf>
    <xf numFmtId="0" fontId="19" fillId="0" borderId="0" xfId="11" applyAlignment="1">
      <alignment vertical="center"/>
    </xf>
    <xf numFmtId="10" fontId="19" fillId="31" borderId="127" xfId="11" applyNumberFormat="1" applyFill="1" applyBorder="1" applyAlignment="1" applyProtection="1">
      <alignment horizontal="center" vertical="center"/>
      <protection locked="0"/>
    </xf>
    <xf numFmtId="10" fontId="19" fillId="16" borderId="169" xfId="11" applyNumberFormat="1" applyFill="1" applyBorder="1" applyAlignment="1" applyProtection="1">
      <alignment horizontal="center" vertical="center"/>
      <protection locked="0"/>
    </xf>
    <xf numFmtId="174" fontId="19" fillId="31" borderId="169" xfId="11" applyNumberFormat="1" applyFill="1" applyBorder="1" applyAlignment="1" applyProtection="1">
      <alignment horizontal="center" vertical="center"/>
      <protection locked="0"/>
    </xf>
    <xf numFmtId="0" fontId="19" fillId="0" borderId="29" xfId="11" applyBorder="1"/>
    <xf numFmtId="0" fontId="19" fillId="31" borderId="20" xfId="11" applyFill="1" applyBorder="1" applyAlignment="1">
      <alignment horizontal="left" vertical="center"/>
    </xf>
    <xf numFmtId="44" fontId="19" fillId="31" borderId="20" xfId="11" applyNumberFormat="1" applyFill="1" applyBorder="1" applyAlignment="1">
      <alignment horizontal="center" vertical="center"/>
    </xf>
    <xf numFmtId="0" fontId="19" fillId="0" borderId="28" xfId="11" applyBorder="1"/>
    <xf numFmtId="0" fontId="19" fillId="0" borderId="30" xfId="11" applyBorder="1"/>
    <xf numFmtId="0" fontId="19" fillId="0" borderId="0" xfId="11" applyAlignment="1">
      <alignment horizontal="left"/>
    </xf>
    <xf numFmtId="0" fontId="19" fillId="0" borderId="0" xfId="11" applyAlignment="1">
      <alignment horizontal="center"/>
    </xf>
    <xf numFmtId="0" fontId="19" fillId="0" borderId="0" xfId="11" applyAlignment="1">
      <alignment horizontal="center" wrapText="1"/>
    </xf>
    <xf numFmtId="175" fontId="19" fillId="31" borderId="127" xfId="11" applyNumberFormat="1" applyFill="1" applyBorder="1" applyAlignment="1">
      <alignment horizontal="right" vertical="center"/>
    </xf>
    <xf numFmtId="0" fontId="4" fillId="0" borderId="79" xfId="2" applyFont="1" applyBorder="1" applyAlignment="1">
      <alignment horizontal="left" vertical="center"/>
    </xf>
    <xf numFmtId="0" fontId="4" fillId="0" borderId="90" xfId="2" applyFont="1" applyBorder="1" applyAlignment="1" applyProtection="1">
      <alignment vertical="top"/>
      <protection locked="0"/>
    </xf>
    <xf numFmtId="0" fontId="4" fillId="0" borderId="79" xfId="2" applyFont="1" applyBorder="1" applyAlignment="1">
      <alignment vertical="center"/>
    </xf>
    <xf numFmtId="0" fontId="4" fillId="0" borderId="90" xfId="2" applyFont="1" applyBorder="1" applyAlignment="1">
      <alignment vertical="center"/>
    </xf>
    <xf numFmtId="0" fontId="4" fillId="0" borderId="94" xfId="2" applyFont="1" applyBorder="1" applyAlignment="1">
      <alignment horizontal="left" vertical="center"/>
    </xf>
    <xf numFmtId="0" fontId="4" fillId="0" borderId="175" xfId="2" applyFont="1" applyBorder="1" applyAlignment="1">
      <alignment horizontal="center" vertical="center" wrapText="1"/>
    </xf>
    <xf numFmtId="0" fontId="4" fillId="0" borderId="176" xfId="2" applyFont="1" applyBorder="1" applyAlignment="1">
      <alignment horizontal="center" vertical="center" wrapText="1"/>
    </xf>
    <xf numFmtId="165" fontId="10" fillId="11" borderId="172" xfId="2" applyNumberFormat="1" applyFont="1" applyFill="1" applyBorder="1" applyAlignment="1" applyProtection="1">
      <alignment vertical="center" wrapText="1"/>
      <protection locked="0"/>
    </xf>
    <xf numFmtId="165" fontId="10" fillId="11" borderId="174" xfId="2" applyNumberFormat="1" applyFont="1" applyFill="1" applyBorder="1" applyAlignment="1" applyProtection="1">
      <alignment vertical="center" wrapText="1"/>
      <protection locked="0"/>
    </xf>
    <xf numFmtId="0" fontId="10" fillId="1" borderId="79" xfId="2" applyFont="1" applyFill="1" applyBorder="1" applyAlignment="1">
      <alignment vertical="center"/>
    </xf>
    <xf numFmtId="0" fontId="10" fillId="1" borderId="81" xfId="2" applyFont="1" applyFill="1" applyBorder="1" applyAlignment="1">
      <alignment vertical="center"/>
    </xf>
    <xf numFmtId="165" fontId="10" fillId="1" borderId="82" xfId="2" applyNumberFormat="1" applyFont="1" applyFill="1" applyBorder="1" applyAlignment="1">
      <alignment vertical="center"/>
    </xf>
    <xf numFmtId="165" fontId="10" fillId="1" borderId="162" xfId="2" applyNumberFormat="1" applyFont="1" applyFill="1" applyBorder="1" applyAlignment="1">
      <alignment vertical="center"/>
    </xf>
    <xf numFmtId="0" fontId="4" fillId="0" borderId="94" xfId="2" applyFont="1" applyBorder="1" applyAlignment="1">
      <alignment vertical="center"/>
    </xf>
    <xf numFmtId="0" fontId="10" fillId="1" borderId="94" xfId="2" applyFont="1" applyFill="1" applyBorder="1" applyAlignment="1">
      <alignment vertical="center"/>
    </xf>
    <xf numFmtId="0" fontId="10" fillId="1" borderId="177" xfId="2" applyFont="1" applyFill="1" applyBorder="1" applyAlignment="1">
      <alignment vertical="center"/>
    </xf>
    <xf numFmtId="165" fontId="10" fillId="0" borderId="48" xfId="2" applyNumberFormat="1" applyFont="1" applyBorder="1" applyAlignment="1">
      <alignment vertical="center"/>
    </xf>
    <xf numFmtId="165" fontId="10" fillId="0" borderId="49" xfId="2" applyNumberFormat="1" applyFont="1" applyBorder="1" applyAlignment="1">
      <alignment vertical="center"/>
    </xf>
    <xf numFmtId="0" fontId="10" fillId="0" borderId="19" xfId="2" applyFont="1" applyBorder="1" applyAlignment="1">
      <alignment horizontal="right" vertical="center"/>
    </xf>
    <xf numFmtId="10" fontId="10" fillId="0" borderId="48" xfId="2" applyNumberFormat="1" applyFont="1" applyBorder="1" applyAlignment="1" applyProtection="1">
      <alignment vertical="center"/>
      <protection locked="0"/>
    </xf>
    <xf numFmtId="10" fontId="10" fillId="0" borderId="49" xfId="2" applyNumberFormat="1" applyFont="1" applyBorder="1" applyAlignment="1" applyProtection="1">
      <alignment vertical="center"/>
      <protection locked="0"/>
    </xf>
    <xf numFmtId="165" fontId="10" fillId="0" borderId="48" xfId="2" applyNumberFormat="1" applyFont="1" applyBorder="1" applyAlignment="1" applyProtection="1">
      <alignment vertical="center"/>
      <protection locked="0"/>
    </xf>
    <xf numFmtId="165" fontId="10" fillId="0" borderId="49" xfId="2" applyNumberFormat="1" applyFont="1" applyBorder="1" applyAlignment="1" applyProtection="1">
      <alignment vertical="center"/>
      <protection locked="0"/>
    </xf>
    <xf numFmtId="10" fontId="10" fillId="1" borderId="95" xfId="2" applyNumberFormat="1" applyFont="1" applyFill="1" applyBorder="1" applyAlignment="1">
      <alignment vertical="center"/>
    </xf>
    <xf numFmtId="10" fontId="10" fillId="1" borderId="23" xfId="2" applyNumberFormat="1" applyFont="1" applyFill="1" applyBorder="1" applyAlignment="1">
      <alignment vertical="center"/>
    </xf>
    <xf numFmtId="165" fontId="10" fillId="0" borderId="91" xfId="2" applyNumberFormat="1" applyFont="1" applyBorder="1" applyAlignment="1" applyProtection="1">
      <alignment vertical="center"/>
      <protection locked="0"/>
    </xf>
    <xf numFmtId="165" fontId="10" fillId="0" borderId="93" xfId="2" applyNumberFormat="1" applyFont="1" applyBorder="1" applyAlignment="1" applyProtection="1">
      <alignment vertical="center"/>
      <protection locked="0"/>
    </xf>
    <xf numFmtId="165" fontId="10" fillId="25" borderId="172" xfId="2" applyNumberFormat="1" applyFont="1" applyFill="1" applyBorder="1" applyAlignment="1">
      <alignment vertical="center"/>
    </xf>
    <xf numFmtId="165" fontId="10" fillId="25" borderId="174" xfId="2" applyNumberFormat="1" applyFont="1" applyFill="1" applyBorder="1" applyAlignment="1">
      <alignment vertical="center"/>
    </xf>
    <xf numFmtId="0" fontId="4" fillId="0" borderId="95" xfId="2" applyFont="1" applyBorder="1" applyAlignment="1">
      <alignment horizontal="right" vertical="center"/>
    </xf>
    <xf numFmtId="10" fontId="10" fillId="1" borderId="87" xfId="2" applyNumberFormat="1" applyFont="1" applyFill="1" applyBorder="1" applyAlignment="1">
      <alignment vertical="center"/>
    </xf>
    <xf numFmtId="10" fontId="10" fillId="1" borderId="88" xfId="2" applyNumberFormat="1" applyFont="1" applyFill="1" applyBorder="1" applyAlignment="1">
      <alignment vertical="center"/>
    </xf>
    <xf numFmtId="165" fontId="10" fillId="11" borderId="172" xfId="2" applyNumberFormat="1" applyFont="1" applyFill="1" applyBorder="1" applyAlignment="1">
      <alignment vertical="center"/>
    </xf>
    <xf numFmtId="165" fontId="10" fillId="11" borderId="174" xfId="2" applyNumberFormat="1" applyFont="1" applyFill="1" applyBorder="1" applyAlignment="1">
      <alignment vertical="center"/>
    </xf>
    <xf numFmtId="10" fontId="10" fillId="1" borderId="79" xfId="2" applyNumberFormat="1" applyFont="1" applyFill="1" applyBorder="1" applyAlignment="1">
      <alignment vertical="center"/>
    </xf>
    <xf numFmtId="10" fontId="10" fillId="1" borderId="81" xfId="2" applyNumberFormat="1" applyFont="1" applyFill="1" applyBorder="1" applyAlignment="1">
      <alignment vertical="center"/>
    </xf>
    <xf numFmtId="10" fontId="10" fillId="1" borderId="94" xfId="2" applyNumberFormat="1" applyFont="1" applyFill="1" applyBorder="1" applyAlignment="1">
      <alignment vertical="center"/>
    </xf>
    <xf numFmtId="10" fontId="10" fillId="1" borderId="177" xfId="2" applyNumberFormat="1" applyFont="1" applyFill="1" applyBorder="1" applyAlignment="1">
      <alignment vertical="center"/>
    </xf>
    <xf numFmtId="165" fontId="10" fillId="0" borderId="178" xfId="2" applyNumberFormat="1" applyFont="1" applyBorder="1" applyAlignment="1">
      <alignment vertical="center"/>
    </xf>
    <xf numFmtId="9" fontId="3" fillId="0" borderId="48" xfId="7" applyFont="1" applyBorder="1" applyAlignment="1" applyProtection="1">
      <alignment vertical="center"/>
      <protection locked="0"/>
    </xf>
    <xf numFmtId="165" fontId="10" fillId="25" borderId="49" xfId="2" applyNumberFormat="1" applyFont="1" applyFill="1" applyBorder="1" applyAlignment="1">
      <alignment vertical="center"/>
    </xf>
    <xf numFmtId="0" fontId="4" fillId="0" borderId="19" xfId="2" applyFont="1" applyBorder="1" applyAlignment="1">
      <alignment horizontal="right" vertical="center"/>
    </xf>
    <xf numFmtId="0" fontId="4" fillId="0" borderId="19" xfId="2" applyFont="1" applyBorder="1" applyAlignment="1">
      <alignment horizontal="left" vertical="center"/>
    </xf>
    <xf numFmtId="165" fontId="10" fillId="0" borderId="179" xfId="2" applyNumberFormat="1" applyFont="1" applyBorder="1" applyAlignment="1" applyProtection="1">
      <alignment vertical="center"/>
      <protection locked="0"/>
    </xf>
    <xf numFmtId="165" fontId="10" fillId="0" borderId="180" xfId="2" applyNumberFormat="1" applyFont="1" applyBorder="1" applyAlignment="1" applyProtection="1">
      <alignment vertical="center"/>
      <protection locked="0"/>
    </xf>
    <xf numFmtId="10" fontId="10" fillId="1" borderId="82" xfId="2" applyNumberFormat="1" applyFont="1" applyFill="1" applyBorder="1" applyAlignment="1">
      <alignment vertical="center"/>
    </xf>
    <xf numFmtId="10" fontId="10" fillId="1" borderId="162" xfId="2" applyNumberFormat="1" applyFont="1" applyFill="1" applyBorder="1" applyAlignment="1">
      <alignment vertical="center"/>
    </xf>
    <xf numFmtId="0" fontId="10" fillId="0" borderId="95" xfId="2" applyFont="1" applyBorder="1" applyAlignment="1">
      <alignment horizontal="right" vertical="center"/>
    </xf>
    <xf numFmtId="174" fontId="10" fillId="0" borderId="0" xfId="2" applyNumberFormat="1" applyFont="1" applyAlignment="1">
      <alignment vertical="center"/>
    </xf>
    <xf numFmtId="10" fontId="10" fillId="0" borderId="93" xfId="2" applyNumberFormat="1" applyFont="1" applyBorder="1" applyAlignment="1" applyProtection="1">
      <alignment vertical="center"/>
      <protection locked="0"/>
    </xf>
    <xf numFmtId="165" fontId="10" fillId="25" borderId="116" xfId="2" applyNumberFormat="1" applyFont="1" applyFill="1" applyBorder="1" applyAlignment="1">
      <alignment vertical="center"/>
    </xf>
    <xf numFmtId="165" fontId="10" fillId="25" borderId="181" xfId="2" applyNumberFormat="1" applyFont="1" applyFill="1" applyBorder="1" applyAlignment="1">
      <alignment vertical="center"/>
    </xf>
    <xf numFmtId="0" fontId="4" fillId="0" borderId="87" xfId="2" applyFont="1" applyBorder="1" applyAlignment="1">
      <alignment horizontal="right" vertical="center"/>
    </xf>
    <xf numFmtId="177" fontId="10" fillId="1" borderId="96" xfId="2" applyNumberFormat="1" applyFont="1" applyFill="1" applyBorder="1" applyAlignment="1">
      <alignment vertical="center"/>
    </xf>
    <xf numFmtId="10" fontId="10" fillId="1" borderId="163" xfId="2" applyNumberFormat="1" applyFont="1" applyFill="1" applyBorder="1" applyAlignment="1">
      <alignment vertical="center"/>
    </xf>
    <xf numFmtId="165" fontId="10" fillId="0" borderId="172" xfId="2" applyNumberFormat="1" applyFont="1" applyBorder="1" applyAlignment="1">
      <alignment vertical="center"/>
    </xf>
    <xf numFmtId="165" fontId="10" fillId="6" borderId="174" xfId="2" applyNumberFormat="1" applyFont="1" applyFill="1" applyBorder="1" applyAlignment="1">
      <alignment vertical="center"/>
    </xf>
    <xf numFmtId="165" fontId="10" fillId="0" borderId="179" xfId="2" applyNumberFormat="1" applyFont="1" applyBorder="1" applyAlignment="1">
      <alignment vertical="center"/>
    </xf>
    <xf numFmtId="165" fontId="10" fillId="0" borderId="180" xfId="2" applyNumberFormat="1" applyFont="1" applyBorder="1" applyAlignment="1">
      <alignment vertical="center"/>
    </xf>
    <xf numFmtId="0" fontId="10" fillId="0" borderId="87" xfId="2" applyFont="1" applyBorder="1" applyAlignment="1">
      <alignment horizontal="right" vertical="center"/>
    </xf>
    <xf numFmtId="10" fontId="10" fillId="0" borderId="179" xfId="2" applyNumberFormat="1" applyFont="1" applyBorder="1" applyAlignment="1" applyProtection="1">
      <alignment vertical="center"/>
      <protection locked="0"/>
    </xf>
    <xf numFmtId="10" fontId="10" fillId="0" borderId="180" xfId="2" applyNumberFormat="1" applyFont="1" applyBorder="1" applyAlignment="1" applyProtection="1">
      <alignment vertical="center"/>
      <protection locked="0"/>
    </xf>
    <xf numFmtId="165" fontId="10" fillId="0" borderId="174" xfId="2" applyNumberFormat="1" applyFont="1" applyBorder="1" applyAlignment="1">
      <alignment vertical="center"/>
    </xf>
    <xf numFmtId="165" fontId="10" fillId="0" borderId="0" xfId="2" applyNumberFormat="1" applyFont="1"/>
    <xf numFmtId="0" fontId="10" fillId="1" borderId="133" xfId="2" applyFont="1" applyFill="1" applyBorder="1" applyAlignment="1">
      <alignment vertical="center"/>
    </xf>
    <xf numFmtId="165" fontId="10" fillId="1" borderId="133" xfId="2" applyNumberFormat="1" applyFont="1" applyFill="1" applyBorder="1" applyAlignment="1">
      <alignment vertical="center"/>
    </xf>
    <xf numFmtId="165" fontId="10" fillId="1" borderId="135" xfId="2" applyNumberFormat="1" applyFont="1" applyFill="1" applyBorder="1" applyAlignment="1">
      <alignment vertical="center"/>
    </xf>
    <xf numFmtId="176" fontId="10" fillId="1" borderId="133" xfId="2" applyNumberFormat="1" applyFont="1" applyFill="1" applyBorder="1" applyAlignment="1">
      <alignment vertical="center"/>
    </xf>
    <xf numFmtId="165" fontId="10" fillId="1" borderId="87" xfId="2" applyNumberFormat="1" applyFont="1" applyFill="1" applyBorder="1" applyAlignment="1">
      <alignment vertical="center"/>
    </xf>
    <xf numFmtId="165" fontId="10" fillId="1" borderId="88" xfId="2" applyNumberFormat="1" applyFont="1" applyFill="1" applyBorder="1" applyAlignment="1">
      <alignment vertical="center"/>
    </xf>
    <xf numFmtId="164" fontId="10" fillId="0" borderId="89" xfId="2" applyNumberFormat="1" applyFont="1" applyBorder="1" applyAlignment="1">
      <alignment vertical="center"/>
    </xf>
    <xf numFmtId="0" fontId="10" fillId="1" borderId="88" xfId="2" applyFont="1" applyFill="1" applyBorder="1" applyAlignment="1">
      <alignment vertical="center"/>
    </xf>
    <xf numFmtId="165" fontId="10" fillId="1" borderId="32" xfId="2" applyNumberFormat="1" applyFont="1" applyFill="1" applyBorder="1" applyAlignment="1">
      <alignment vertical="center"/>
    </xf>
    <xf numFmtId="165" fontId="10" fillId="1" borderId="98" xfId="2" applyNumberFormat="1" applyFont="1" applyFill="1" applyBorder="1" applyAlignment="1">
      <alignment vertical="center"/>
    </xf>
    <xf numFmtId="0" fontId="10" fillId="1" borderId="90" xfId="2" applyFont="1" applyFill="1" applyBorder="1" applyAlignment="1">
      <alignment vertical="center"/>
    </xf>
    <xf numFmtId="164" fontId="10" fillId="0" borderId="90" xfId="2" applyNumberFormat="1" applyFont="1" applyBorder="1" applyAlignment="1">
      <alignment vertical="center"/>
    </xf>
    <xf numFmtId="165" fontId="10" fillId="11" borderId="172" xfId="2" applyNumberFormat="1" applyFont="1" applyFill="1" applyBorder="1" applyAlignment="1" applyProtection="1">
      <alignment vertical="center"/>
      <protection locked="0"/>
    </xf>
    <xf numFmtId="165" fontId="10" fillId="11" borderId="174" xfId="2" applyNumberFormat="1" applyFont="1" applyFill="1" applyBorder="1" applyAlignment="1" applyProtection="1">
      <alignment vertical="center"/>
      <protection locked="0"/>
    </xf>
    <xf numFmtId="0" fontId="10" fillId="1" borderId="116" xfId="2" applyFont="1" applyFill="1" applyBorder="1" applyAlignment="1">
      <alignment vertical="center"/>
    </xf>
    <xf numFmtId="0" fontId="10" fillId="1" borderId="181" xfId="2" applyFont="1" applyFill="1" applyBorder="1" applyAlignment="1">
      <alignment vertical="center"/>
    </xf>
    <xf numFmtId="176" fontId="10" fillId="0" borderId="0" xfId="2" applyNumberFormat="1" applyFont="1"/>
    <xf numFmtId="2" fontId="10" fillId="0" borderId="0" xfId="2" applyNumberFormat="1" applyFont="1"/>
    <xf numFmtId="3" fontId="10" fillId="1" borderId="81" xfId="2" applyNumberFormat="1" applyFont="1" applyFill="1" applyBorder="1" applyAlignment="1">
      <alignment vertical="center"/>
    </xf>
    <xf numFmtId="10" fontId="10" fillId="0" borderId="0" xfId="2" applyNumberFormat="1" applyFont="1" applyAlignment="1">
      <alignment vertical="center"/>
    </xf>
    <xf numFmtId="10" fontId="10" fillId="1" borderId="96" xfId="2" applyNumberFormat="1" applyFont="1" applyFill="1" applyBorder="1" applyAlignment="1">
      <alignment vertical="center"/>
    </xf>
    <xf numFmtId="165" fontId="4" fillId="6" borderId="172" xfId="2" applyNumberFormat="1" applyFont="1" applyFill="1" applyBorder="1" applyAlignment="1">
      <alignment vertical="center"/>
    </xf>
    <xf numFmtId="165" fontId="4" fillId="6" borderId="174" xfId="2" applyNumberFormat="1" applyFont="1" applyFill="1" applyBorder="1" applyAlignment="1">
      <alignment vertical="center"/>
    </xf>
    <xf numFmtId="165" fontId="4" fillId="0" borderId="172" xfId="2" applyNumberFormat="1" applyFont="1" applyBorder="1" applyAlignment="1">
      <alignment vertical="center"/>
    </xf>
    <xf numFmtId="0" fontId="4" fillId="0" borderId="90" xfId="2" applyFont="1" applyBorder="1"/>
    <xf numFmtId="165" fontId="4" fillId="6" borderId="90" xfId="2" applyNumberFormat="1" applyFont="1" applyFill="1" applyBorder="1"/>
    <xf numFmtId="9" fontId="6" fillId="0" borderId="0" xfId="5" applyFont="1"/>
    <xf numFmtId="9" fontId="6" fillId="0" borderId="0" xfId="0" applyNumberFormat="1" applyFont="1"/>
    <xf numFmtId="0" fontId="10" fillId="0" borderId="14" xfId="0" applyFont="1" applyBorder="1" applyAlignment="1">
      <alignment horizontal="center" vertical="center"/>
    </xf>
    <xf numFmtId="0" fontId="0" fillId="0" borderId="0" xfId="0" applyAlignment="1">
      <alignment horizontal="center" vertical="center"/>
    </xf>
    <xf numFmtId="0" fontId="3" fillId="0" borderId="9" xfId="0" applyFont="1" applyBorder="1" applyAlignment="1">
      <alignment horizontal="right" vertical="center"/>
    </xf>
    <xf numFmtId="0" fontId="10" fillId="0" borderId="33" xfId="0" applyFont="1" applyBorder="1" applyAlignment="1">
      <alignment horizontal="right" vertical="center"/>
    </xf>
    <xf numFmtId="0" fontId="10" fillId="0" borderId="11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center" vertical="center" wrapText="1"/>
    </xf>
    <xf numFmtId="0" fontId="0" fillId="0" borderId="64" xfId="0" applyBorder="1" applyAlignment="1">
      <alignment horizontal="center" vertical="center"/>
    </xf>
    <xf numFmtId="9" fontId="10" fillId="0" borderId="68" xfId="7" applyFont="1" applyBorder="1" applyAlignment="1">
      <alignment horizontal="center" vertical="center"/>
    </xf>
    <xf numFmtId="0" fontId="10" fillId="0" borderId="56" xfId="0" applyFont="1" applyBorder="1"/>
    <xf numFmtId="169" fontId="10" fillId="0" borderId="68" xfId="0" applyNumberFormat="1" applyFont="1" applyBorder="1"/>
    <xf numFmtId="0" fontId="10" fillId="0" borderId="56" xfId="0" applyFont="1" applyBorder="1" applyAlignment="1">
      <alignment wrapText="1"/>
    </xf>
    <xf numFmtId="169" fontId="10" fillId="0" borderId="68" xfId="0" applyNumberFormat="1" applyFont="1" applyBorder="1" applyAlignment="1">
      <alignment vertical="center"/>
    </xf>
    <xf numFmtId="0" fontId="10" fillId="0" borderId="57" xfId="0" applyFont="1" applyBorder="1" applyAlignment="1">
      <alignment wrapText="1"/>
    </xf>
    <xf numFmtId="0" fontId="0" fillId="0" borderId="75" xfId="0" applyBorder="1" applyAlignment="1">
      <alignment horizontal="center" vertical="center"/>
    </xf>
    <xf numFmtId="9" fontId="10" fillId="0" borderId="75" xfId="7" applyFont="1" applyBorder="1" applyAlignment="1">
      <alignment horizontal="center" vertical="center"/>
    </xf>
    <xf numFmtId="169" fontId="10" fillId="0" borderId="75" xfId="0" applyNumberFormat="1" applyFont="1" applyBorder="1" applyAlignment="1">
      <alignment vertical="center"/>
    </xf>
    <xf numFmtId="171" fontId="35" fillId="0" borderId="6" xfId="9" applyFont="1" applyBorder="1" applyAlignment="1">
      <alignment horizontal="center" vertical="center"/>
    </xf>
    <xf numFmtId="0" fontId="10" fillId="0" borderId="62" xfId="0" applyFont="1" applyBorder="1"/>
    <xf numFmtId="170" fontId="10" fillId="0" borderId="112" xfId="8" applyFont="1" applyBorder="1"/>
    <xf numFmtId="170" fontId="10" fillId="0" borderId="35" xfId="8" applyFont="1" applyBorder="1"/>
    <xf numFmtId="0" fontId="10" fillId="0" borderId="57" xfId="0" applyFont="1" applyBorder="1"/>
    <xf numFmtId="170" fontId="10" fillId="0" borderId="37" xfId="8" applyFont="1" applyBorder="1"/>
    <xf numFmtId="44" fontId="4" fillId="0" borderId="6" xfId="6" applyFont="1" applyBorder="1" applyAlignment="1">
      <alignment horizontal="center" vertical="center" wrapText="1"/>
    </xf>
    <xf numFmtId="0" fontId="10" fillId="0" borderId="34" xfId="0" applyFont="1" applyBorder="1" applyAlignment="1">
      <alignment wrapText="1"/>
    </xf>
    <xf numFmtId="2" fontId="10" fillId="0" borderId="110" xfId="0" applyNumberFormat="1" applyFont="1" applyBorder="1" applyAlignment="1">
      <alignment horizontal="center"/>
    </xf>
    <xf numFmtId="0" fontId="93" fillId="0" borderId="0" xfId="0" applyFont="1"/>
    <xf numFmtId="170" fontId="10" fillId="0" borderId="45" xfId="8" applyFont="1" applyBorder="1" applyAlignment="1">
      <alignment horizontal="center"/>
    </xf>
    <xf numFmtId="44" fontId="0" fillId="0" borderId="0" xfId="6" applyFont="1"/>
    <xf numFmtId="170" fontId="10" fillId="0" borderId="46" xfId="8" applyFont="1" applyBorder="1" applyAlignment="1">
      <alignment horizontal="center"/>
    </xf>
    <xf numFmtId="44" fontId="0" fillId="0" borderId="0" xfId="0" applyNumberFormat="1"/>
    <xf numFmtId="170" fontId="10" fillId="0" borderId="58" xfId="8" applyFont="1" applyBorder="1" applyAlignment="1">
      <alignment horizontal="center"/>
    </xf>
    <xf numFmtId="44" fontId="93" fillId="0" borderId="0" xfId="6" applyFont="1"/>
    <xf numFmtId="44" fontId="93" fillId="0" borderId="0" xfId="0" applyNumberFormat="1" applyFont="1"/>
    <xf numFmtId="169" fontId="10" fillId="0" borderId="35" xfId="8" applyNumberFormat="1" applyFont="1" applyBorder="1" applyAlignment="1">
      <alignment horizontal="center" vertical="center"/>
    </xf>
    <xf numFmtId="169" fontId="10" fillId="0" borderId="37" xfId="8" applyNumberFormat="1" applyFont="1" applyBorder="1" applyAlignment="1">
      <alignment horizontal="center" vertical="center"/>
    </xf>
    <xf numFmtId="2" fontId="94" fillId="0" borderId="0" xfId="0" applyNumberFormat="1" applyFont="1" applyAlignment="1">
      <alignment vertical="center"/>
    </xf>
    <xf numFmtId="0" fontId="94" fillId="0" borderId="0" xfId="0" applyFont="1"/>
    <xf numFmtId="164" fontId="4" fillId="0" borderId="6" xfId="6" applyNumberFormat="1" applyFont="1" applyBorder="1" applyAlignment="1">
      <alignment horizontal="center" vertical="center" wrapText="1"/>
    </xf>
    <xf numFmtId="169" fontId="10" fillId="0" borderId="92" xfId="0" applyNumberFormat="1" applyFont="1" applyBorder="1" applyAlignment="1">
      <alignment vertical="center"/>
    </xf>
    <xf numFmtId="169" fontId="10" fillId="0" borderId="71" xfId="0" applyNumberFormat="1" applyFont="1" applyBorder="1" applyAlignment="1">
      <alignment vertical="center"/>
    </xf>
    <xf numFmtId="169" fontId="10" fillId="0" borderId="64" xfId="0" applyNumberFormat="1" applyFont="1" applyBorder="1" applyAlignment="1">
      <alignment vertical="center"/>
    </xf>
    <xf numFmtId="2" fontId="0" fillId="0" borderId="0" xfId="0" applyNumberFormat="1"/>
    <xf numFmtId="178" fontId="10" fillId="0" borderId="68" xfId="0" applyNumberFormat="1" applyFont="1" applyBorder="1"/>
    <xf numFmtId="17" fontId="0" fillId="0" borderId="0" xfId="0" applyNumberFormat="1"/>
    <xf numFmtId="2" fontId="47" fillId="0" borderId="66" xfId="0" applyNumberFormat="1" applyFont="1" applyBorder="1" applyAlignment="1" applyProtection="1">
      <alignment horizontal="center" vertical="center" wrapText="1"/>
      <protection locked="0"/>
    </xf>
    <xf numFmtId="2" fontId="46" fillId="0" borderId="27" xfId="0" applyNumberFormat="1" applyFont="1" applyBorder="1" applyAlignment="1" applyProtection="1">
      <alignment horizontal="center" vertical="center" wrapText="1"/>
      <protection locked="0"/>
    </xf>
    <xf numFmtId="2" fontId="9" fillId="0" borderId="66" xfId="0" applyNumberFormat="1" applyFont="1" applyBorder="1" applyAlignment="1" applyProtection="1">
      <alignment horizontal="center" vertical="center" wrapText="1"/>
      <protection locked="0"/>
    </xf>
    <xf numFmtId="166" fontId="10" fillId="0" borderId="68" xfId="0" applyNumberFormat="1" applyFont="1" applyBorder="1" applyAlignment="1">
      <alignment horizontal="center"/>
    </xf>
    <xf numFmtId="178" fontId="10" fillId="0" borderId="110" xfId="0" applyNumberFormat="1" applyFont="1" applyBorder="1"/>
    <xf numFmtId="178" fontId="10" fillId="0" borderId="68" xfId="0" applyNumberFormat="1" applyFont="1" applyBorder="1" applyAlignment="1">
      <alignment vertical="center"/>
    </xf>
    <xf numFmtId="179" fontId="10" fillId="0" borderId="112" xfId="8" applyNumberFormat="1" applyFont="1" applyBorder="1"/>
    <xf numFmtId="179" fontId="10" fillId="0" borderId="35" xfId="8" applyNumberFormat="1" applyFont="1" applyBorder="1" applyAlignment="1">
      <alignment horizontal="center" vertical="center"/>
    </xf>
    <xf numFmtId="0" fontId="10" fillId="0" borderId="62" xfId="0" applyFont="1" applyBorder="1" applyAlignment="1">
      <alignment wrapText="1"/>
    </xf>
    <xf numFmtId="169" fontId="10" fillId="0" borderId="110" xfId="0" applyNumberFormat="1" applyFont="1" applyBorder="1" applyAlignment="1">
      <alignment vertical="center"/>
    </xf>
    <xf numFmtId="170" fontId="10" fillId="0" borderId="112" xfId="8" applyFont="1" applyBorder="1" applyAlignment="1">
      <alignment vertical="center"/>
    </xf>
    <xf numFmtId="0" fontId="16" fillId="0" borderId="0" xfId="0" applyFont="1" applyAlignment="1" applyProtection="1">
      <alignment vertical="center"/>
      <protection locked="0"/>
    </xf>
    <xf numFmtId="0" fontId="46" fillId="0" borderId="0" xfId="0" applyFont="1" applyAlignment="1" applyProtection="1">
      <alignment vertical="center"/>
      <protection locked="0"/>
    </xf>
    <xf numFmtId="0" fontId="46" fillId="0" borderId="28" xfId="0" applyFont="1" applyBorder="1" applyAlignment="1" applyProtection="1">
      <alignment vertical="center"/>
      <protection locked="0"/>
    </xf>
    <xf numFmtId="9" fontId="46" fillId="0" borderId="66" xfId="5" applyFont="1" applyBorder="1" applyAlignment="1" applyProtection="1">
      <alignment vertical="center"/>
      <protection locked="0"/>
    </xf>
    <xf numFmtId="0" fontId="46" fillId="0" borderId="66" xfId="0" applyFont="1" applyBorder="1" applyAlignment="1" applyProtection="1">
      <alignment vertical="center"/>
      <protection locked="0"/>
    </xf>
    <xf numFmtId="0" fontId="46" fillId="0" borderId="30" xfId="0" applyFont="1" applyBorder="1" applyAlignment="1" applyProtection="1">
      <alignment vertical="center"/>
      <protection locked="0"/>
    </xf>
    <xf numFmtId="0" fontId="16" fillId="0" borderId="64" xfId="0" applyFont="1" applyBorder="1" applyAlignment="1" applyProtection="1">
      <alignment horizontal="center" vertical="center"/>
      <protection locked="0"/>
    </xf>
    <xf numFmtId="2" fontId="46" fillId="0" borderId="68" xfId="0" applyNumberFormat="1" applyFont="1" applyBorder="1" applyAlignment="1" applyProtection="1">
      <alignment horizontal="center" vertical="center" wrapText="1"/>
      <protection locked="0"/>
    </xf>
    <xf numFmtId="0" fontId="48" fillId="0" borderId="154" xfId="0" applyFont="1" applyBorder="1" applyAlignment="1" applyProtection="1">
      <alignment horizontal="center"/>
      <protection locked="0"/>
    </xf>
    <xf numFmtId="164" fontId="41" fillId="0" borderId="90" xfId="0" applyNumberFormat="1" applyFont="1" applyBorder="1" applyAlignment="1" applyProtection="1">
      <alignment horizontal="center" vertical="center" wrapText="1"/>
      <protection locked="0"/>
    </xf>
    <xf numFmtId="170" fontId="10" fillId="0" borderId="45" xfId="8" applyFont="1" applyBorder="1" applyAlignment="1">
      <alignment horizontal="center" vertical="center"/>
    </xf>
    <xf numFmtId="0" fontId="6" fillId="0" borderId="0" xfId="0" applyFont="1" applyAlignment="1">
      <alignment horizontal="center" vertical="center"/>
    </xf>
    <xf numFmtId="0" fontId="59" fillId="17" borderId="79" xfId="0" applyFont="1" applyFill="1" applyBorder="1" applyAlignment="1">
      <alignment horizontal="center" vertical="center"/>
    </xf>
    <xf numFmtId="0" fontId="59" fillId="17" borderId="80" xfId="0" applyFont="1" applyFill="1" applyBorder="1" applyAlignment="1">
      <alignment horizontal="center" vertical="center"/>
    </xf>
    <xf numFmtId="0" fontId="59" fillId="17" borderId="81" xfId="0" applyFont="1" applyFill="1" applyBorder="1" applyAlignment="1">
      <alignment horizontal="center" vertical="center"/>
    </xf>
    <xf numFmtId="0" fontId="11" fillId="6" borderId="79" xfId="0" applyFont="1" applyFill="1" applyBorder="1" applyAlignment="1">
      <alignment horizontal="center" vertical="center"/>
    </xf>
    <xf numFmtId="0" fontId="11" fillId="6" borderId="80" xfId="0" applyFont="1" applyFill="1" applyBorder="1" applyAlignment="1">
      <alignment horizontal="center" vertical="center"/>
    </xf>
    <xf numFmtId="0" fontId="11" fillId="6" borderId="81" xfId="0" applyFont="1" applyFill="1" applyBorder="1" applyAlignment="1">
      <alignment horizontal="center" vertical="center"/>
    </xf>
    <xf numFmtId="0" fontId="59" fillId="18" borderId="79" xfId="0" applyFont="1" applyFill="1" applyBorder="1" applyAlignment="1">
      <alignment horizontal="center" vertical="center"/>
    </xf>
    <xf numFmtId="0" fontId="59" fillId="18" borderId="80" xfId="0" applyFont="1" applyFill="1" applyBorder="1" applyAlignment="1">
      <alignment horizontal="center" vertical="center"/>
    </xf>
    <xf numFmtId="0" fontId="59" fillId="18" borderId="81" xfId="0" applyFont="1" applyFill="1" applyBorder="1" applyAlignment="1">
      <alignment horizontal="center" vertical="center"/>
    </xf>
    <xf numFmtId="0" fontId="59" fillId="13" borderId="79" xfId="0" applyFont="1" applyFill="1" applyBorder="1" applyAlignment="1">
      <alignment horizontal="center" vertical="center"/>
    </xf>
    <xf numFmtId="0" fontId="59" fillId="13" borderId="81" xfId="0" applyFont="1" applyFill="1" applyBorder="1" applyAlignment="1">
      <alignment horizontal="center" vertical="center"/>
    </xf>
    <xf numFmtId="0" fontId="58" fillId="15" borderId="79" xfId="0" applyFont="1" applyFill="1" applyBorder="1" applyAlignment="1">
      <alignment horizontal="center"/>
    </xf>
    <xf numFmtId="0" fontId="58" fillId="15" borderId="80" xfId="0" applyFont="1" applyFill="1" applyBorder="1" applyAlignment="1">
      <alignment horizontal="center"/>
    </xf>
    <xf numFmtId="0" fontId="58" fillId="15" borderId="81" xfId="0" applyFont="1" applyFill="1" applyBorder="1" applyAlignment="1">
      <alignment horizontal="center"/>
    </xf>
    <xf numFmtId="0" fontId="59" fillId="14" borderId="79" xfId="0" applyFont="1" applyFill="1" applyBorder="1" applyAlignment="1">
      <alignment horizontal="center" vertical="center"/>
    </xf>
    <xf numFmtId="0" fontId="59" fillId="14" borderId="80" xfId="0" applyFont="1" applyFill="1" applyBorder="1" applyAlignment="1">
      <alignment horizontal="center" vertical="center"/>
    </xf>
    <xf numFmtId="0" fontId="59" fillId="14" borderId="81" xfId="0" applyFont="1" applyFill="1" applyBorder="1" applyAlignment="1">
      <alignment horizontal="center" vertical="center"/>
    </xf>
    <xf numFmtId="0" fontId="59" fillId="16" borderId="79" xfId="0" applyFont="1" applyFill="1" applyBorder="1" applyAlignment="1">
      <alignment horizontal="center" vertical="center"/>
    </xf>
    <xf numFmtId="0" fontId="59" fillId="16" borderId="81" xfId="0" applyFont="1" applyFill="1" applyBorder="1" applyAlignment="1">
      <alignment horizontal="center" vertical="center"/>
    </xf>
    <xf numFmtId="0" fontId="64" fillId="20" borderId="134" xfId="0" applyFont="1" applyFill="1" applyBorder="1" applyAlignment="1">
      <alignment horizontal="center" vertical="center"/>
    </xf>
    <xf numFmtId="0" fontId="63" fillId="4" borderId="79" xfId="0" applyFont="1" applyFill="1" applyBorder="1" applyAlignment="1">
      <alignment horizontal="center" vertical="center"/>
    </xf>
    <xf numFmtId="0" fontId="63" fillId="4" borderId="80" xfId="0" applyFont="1" applyFill="1" applyBorder="1" applyAlignment="1">
      <alignment horizontal="center" vertical="center"/>
    </xf>
    <xf numFmtId="0" fontId="63" fillId="4" borderId="81" xfId="0" applyFont="1" applyFill="1" applyBorder="1" applyAlignment="1">
      <alignment horizontal="center" vertical="center"/>
    </xf>
    <xf numFmtId="0" fontId="13" fillId="15" borderId="79" xfId="0" applyFont="1" applyFill="1" applyBorder="1" applyAlignment="1">
      <alignment horizontal="center" vertical="center"/>
    </xf>
    <xf numFmtId="0" fontId="13" fillId="15" borderId="80" xfId="0" applyFont="1" applyFill="1" applyBorder="1" applyAlignment="1">
      <alignment horizontal="center" vertical="center"/>
    </xf>
    <xf numFmtId="0" fontId="13" fillId="15" borderId="81" xfId="0" applyFont="1" applyFill="1" applyBorder="1" applyAlignment="1">
      <alignment horizontal="center" vertical="center"/>
    </xf>
    <xf numFmtId="0" fontId="0" fillId="22" borderId="79" xfId="0" applyFill="1" applyBorder="1" applyAlignment="1">
      <alignment horizontal="center" vertical="center"/>
    </xf>
    <xf numFmtId="0" fontId="0" fillId="22" borderId="80" xfId="0" applyFill="1" applyBorder="1" applyAlignment="1">
      <alignment horizontal="center" vertical="center"/>
    </xf>
    <xf numFmtId="0" fontId="0" fillId="22" borderId="81" xfId="0" applyFill="1" applyBorder="1" applyAlignment="1">
      <alignment horizontal="center" vertical="center"/>
    </xf>
    <xf numFmtId="0" fontId="60" fillId="6" borderId="79" xfId="0" applyFont="1" applyFill="1" applyBorder="1" applyAlignment="1">
      <alignment horizontal="center" vertical="center"/>
    </xf>
    <xf numFmtId="0" fontId="60" fillId="6" borderId="80" xfId="0" applyFont="1" applyFill="1" applyBorder="1" applyAlignment="1">
      <alignment horizontal="center" vertical="center"/>
    </xf>
    <xf numFmtId="0" fontId="60" fillId="6" borderId="81" xfId="0" applyFont="1" applyFill="1" applyBorder="1" applyAlignment="1">
      <alignment horizontal="center" vertical="center"/>
    </xf>
    <xf numFmtId="0" fontId="62" fillId="21" borderId="79" xfId="0" applyFont="1" applyFill="1" applyBorder="1" applyAlignment="1">
      <alignment horizontal="center" vertical="center"/>
    </xf>
    <xf numFmtId="0" fontId="62" fillId="21" borderId="80" xfId="0" applyFont="1" applyFill="1" applyBorder="1" applyAlignment="1">
      <alignment horizontal="center" vertical="center"/>
    </xf>
    <xf numFmtId="0" fontId="62" fillId="21" borderId="81" xfId="0" applyFont="1" applyFill="1" applyBorder="1" applyAlignment="1">
      <alignment horizontal="center" vertical="center"/>
    </xf>
    <xf numFmtId="0" fontId="0" fillId="21" borderId="79" xfId="0" applyFill="1" applyBorder="1" applyAlignment="1">
      <alignment horizontal="center" vertical="center"/>
    </xf>
    <xf numFmtId="0" fontId="0" fillId="21" borderId="80" xfId="0" applyFill="1" applyBorder="1" applyAlignment="1">
      <alignment horizontal="center" vertical="center"/>
    </xf>
    <xf numFmtId="0" fontId="0" fillId="21" borderId="81" xfId="0" applyFill="1" applyBorder="1" applyAlignment="1">
      <alignment horizontal="center" vertical="center"/>
    </xf>
    <xf numFmtId="0" fontId="64" fillId="20" borderId="0" xfId="0" applyFont="1" applyFill="1" applyAlignment="1">
      <alignment horizontal="center"/>
    </xf>
    <xf numFmtId="0" fontId="0" fillId="22" borderId="79" xfId="0" applyFill="1" applyBorder="1" applyAlignment="1">
      <alignment horizontal="center"/>
    </xf>
    <xf numFmtId="0" fontId="0" fillId="22" borderId="80" xfId="0" applyFill="1" applyBorder="1" applyAlignment="1">
      <alignment horizontal="center"/>
    </xf>
    <xf numFmtId="0" fontId="0" fillId="22" borderId="81" xfId="0" applyFill="1" applyBorder="1" applyAlignment="1">
      <alignment horizontal="center"/>
    </xf>
    <xf numFmtId="0" fontId="13" fillId="15" borderId="79" xfId="0" applyFont="1" applyFill="1" applyBorder="1" applyAlignment="1">
      <alignment horizontal="center"/>
    </xf>
    <xf numFmtId="0" fontId="13" fillId="15" borderId="80" xfId="0" applyFont="1" applyFill="1" applyBorder="1" applyAlignment="1">
      <alignment horizontal="center"/>
    </xf>
    <xf numFmtId="0" fontId="13" fillId="15" borderId="81" xfId="0" applyFont="1" applyFill="1" applyBorder="1" applyAlignment="1">
      <alignment horizontal="center"/>
    </xf>
    <xf numFmtId="0" fontId="65" fillId="6" borderId="133" xfId="0" applyFont="1" applyFill="1" applyBorder="1" applyAlignment="1">
      <alignment horizontal="center" vertical="center"/>
    </xf>
    <xf numFmtId="0" fontId="65" fillId="6" borderId="134" xfId="0" applyFont="1" applyFill="1" applyBorder="1" applyAlignment="1">
      <alignment horizontal="center" vertical="center"/>
    </xf>
    <xf numFmtId="0" fontId="65" fillId="6" borderId="135" xfId="0" applyFont="1" applyFill="1" applyBorder="1" applyAlignment="1">
      <alignment horizontal="center" vertical="center"/>
    </xf>
    <xf numFmtId="0" fontId="65" fillId="6" borderId="139" xfId="0" applyFont="1" applyFill="1" applyBorder="1" applyAlignment="1">
      <alignment horizontal="center" vertical="center"/>
    </xf>
    <xf numFmtId="0" fontId="65" fillId="6" borderId="32" xfId="0" applyFont="1" applyFill="1" applyBorder="1" applyAlignment="1">
      <alignment horizontal="center" vertical="center"/>
    </xf>
    <xf numFmtId="0" fontId="65" fillId="6" borderId="98" xfId="0" applyFont="1" applyFill="1" applyBorder="1" applyAlignment="1">
      <alignment horizontal="center" vertical="center"/>
    </xf>
    <xf numFmtId="0" fontId="66" fillId="6" borderId="136" xfId="0" applyFont="1" applyFill="1" applyBorder="1" applyAlignment="1">
      <alignment horizontal="center" vertical="center"/>
    </xf>
    <xf numFmtId="0" fontId="66" fillId="6" borderId="137" xfId="0" applyFont="1" applyFill="1" applyBorder="1" applyAlignment="1">
      <alignment horizontal="center" vertical="center"/>
    </xf>
    <xf numFmtId="0" fontId="66" fillId="6" borderId="138" xfId="0" applyFont="1" applyFill="1" applyBorder="1" applyAlignment="1">
      <alignment horizontal="center" vertical="center"/>
    </xf>
    <xf numFmtId="0" fontId="66" fillId="6" borderId="140" xfId="0" applyFont="1" applyFill="1" applyBorder="1" applyAlignment="1">
      <alignment horizontal="center" vertical="center"/>
    </xf>
    <xf numFmtId="0" fontId="66" fillId="6" borderId="141" xfId="0" applyFont="1" applyFill="1" applyBorder="1" applyAlignment="1">
      <alignment horizontal="center" vertical="center"/>
    </xf>
    <xf numFmtId="0" fontId="66" fillId="6" borderId="142" xfId="0" applyFont="1" applyFill="1" applyBorder="1" applyAlignment="1">
      <alignment horizontal="center" vertical="center"/>
    </xf>
    <xf numFmtId="0" fontId="60" fillId="6" borderId="133" xfId="0" applyFont="1" applyFill="1" applyBorder="1" applyAlignment="1">
      <alignment horizontal="center" vertical="center"/>
    </xf>
    <xf numFmtId="0" fontId="60" fillId="6" borderId="134" xfId="0" applyFont="1" applyFill="1" applyBorder="1" applyAlignment="1">
      <alignment horizontal="center" vertical="center"/>
    </xf>
    <xf numFmtId="0" fontId="60" fillId="6" borderId="135" xfId="0" applyFont="1" applyFill="1" applyBorder="1" applyAlignment="1">
      <alignment horizontal="center" vertical="center"/>
    </xf>
    <xf numFmtId="0" fontId="60" fillId="6" borderId="139" xfId="0" applyFont="1" applyFill="1" applyBorder="1" applyAlignment="1">
      <alignment horizontal="center" vertical="center"/>
    </xf>
    <xf numFmtId="0" fontId="60" fillId="6" borderId="32" xfId="0" applyFont="1" applyFill="1" applyBorder="1" applyAlignment="1">
      <alignment horizontal="center" vertical="center"/>
    </xf>
    <xf numFmtId="0" fontId="60" fillId="6" borderId="98" xfId="0" applyFont="1" applyFill="1" applyBorder="1" applyAlignment="1">
      <alignment horizontal="center" vertical="center"/>
    </xf>
    <xf numFmtId="0" fontId="61" fillId="15" borderId="89" xfId="0" applyFont="1" applyFill="1" applyBorder="1" applyAlignment="1">
      <alignment horizontal="center" vertical="center"/>
    </xf>
    <xf numFmtId="0" fontId="61" fillId="15" borderId="143" xfId="0" applyFont="1" applyFill="1" applyBorder="1" applyAlignment="1">
      <alignment horizontal="center" vertical="center"/>
    </xf>
    <xf numFmtId="0" fontId="62" fillId="16" borderId="79" xfId="0" applyFont="1" applyFill="1" applyBorder="1" applyAlignment="1">
      <alignment horizontal="center" vertical="center"/>
    </xf>
    <xf numFmtId="0" fontId="62" fillId="16" borderId="80" xfId="0" applyFont="1" applyFill="1" applyBorder="1" applyAlignment="1">
      <alignment horizontal="center" vertical="center"/>
    </xf>
    <xf numFmtId="0" fontId="62" fillId="16" borderId="81" xfId="0" applyFont="1" applyFill="1" applyBorder="1" applyAlignment="1">
      <alignment horizontal="center" vertical="center"/>
    </xf>
    <xf numFmtId="0" fontId="13" fillId="4" borderId="79" xfId="0" applyFont="1" applyFill="1" applyBorder="1" applyAlignment="1">
      <alignment horizontal="center" vertical="center"/>
    </xf>
    <xf numFmtId="0" fontId="13" fillId="4" borderId="80" xfId="0" applyFont="1" applyFill="1" applyBorder="1" applyAlignment="1">
      <alignment horizontal="center" vertical="center"/>
    </xf>
    <xf numFmtId="0" fontId="13" fillId="4" borderId="81" xfId="0" applyFont="1" applyFill="1" applyBorder="1" applyAlignment="1">
      <alignment horizontal="center" vertical="center"/>
    </xf>
    <xf numFmtId="0" fontId="63" fillId="4" borderId="133" xfId="0" applyFont="1" applyFill="1" applyBorder="1" applyAlignment="1">
      <alignment horizontal="center" vertical="center" wrapText="1"/>
    </xf>
    <xf numFmtId="0" fontId="63" fillId="4" borderId="134" xfId="0" applyFont="1" applyFill="1" applyBorder="1" applyAlignment="1">
      <alignment horizontal="center" vertical="center"/>
    </xf>
    <xf numFmtId="0" fontId="63" fillId="4" borderId="139" xfId="0" applyFont="1" applyFill="1" applyBorder="1" applyAlignment="1">
      <alignment horizontal="center" vertical="center"/>
    </xf>
    <xf numFmtId="0" fontId="63" fillId="4" borderId="32" xfId="0" applyFont="1" applyFill="1" applyBorder="1" applyAlignment="1">
      <alignment horizontal="center" vertical="center"/>
    </xf>
    <xf numFmtId="0" fontId="0" fillId="4" borderId="134" xfId="0" applyFill="1" applyBorder="1" applyAlignment="1">
      <alignment horizontal="center" vertical="center"/>
    </xf>
    <xf numFmtId="0" fontId="0" fillId="4" borderId="32" xfId="0" applyFill="1" applyBorder="1" applyAlignment="1">
      <alignment horizontal="center" vertical="center"/>
    </xf>
    <xf numFmtId="0" fontId="0" fillId="4" borderId="135" xfId="0" applyFill="1" applyBorder="1" applyAlignment="1">
      <alignment horizontal="center" vertical="center"/>
    </xf>
    <xf numFmtId="0" fontId="0" fillId="4" borderId="98" xfId="0" applyFill="1" applyBorder="1" applyAlignment="1">
      <alignment horizontal="center" vertical="center"/>
    </xf>
    <xf numFmtId="0" fontId="71" fillId="16" borderId="79" xfId="0" applyFont="1" applyFill="1" applyBorder="1" applyAlignment="1">
      <alignment horizontal="center" vertical="center"/>
    </xf>
    <xf numFmtId="0" fontId="71" fillId="16" borderId="80" xfId="0" applyFont="1" applyFill="1" applyBorder="1" applyAlignment="1">
      <alignment horizontal="center" vertical="center"/>
    </xf>
    <xf numFmtId="0" fontId="71" fillId="16" borderId="81" xfId="0" applyFont="1" applyFill="1" applyBorder="1" applyAlignment="1">
      <alignment horizontal="center" vertical="center"/>
    </xf>
    <xf numFmtId="0" fontId="27" fillId="24" borderId="32" xfId="0" applyFont="1" applyFill="1" applyBorder="1" applyAlignment="1">
      <alignment horizontal="center" vertical="center"/>
    </xf>
    <xf numFmtId="0" fontId="27" fillId="23" borderId="133" xfId="0" applyFont="1" applyFill="1" applyBorder="1" applyAlignment="1">
      <alignment vertical="center"/>
    </xf>
    <xf numFmtId="0" fontId="27" fillId="23" borderId="134" xfId="0" applyFont="1" applyFill="1" applyBorder="1" applyAlignment="1">
      <alignment vertical="center"/>
    </xf>
    <xf numFmtId="0" fontId="27" fillId="23" borderId="87" xfId="0" applyFont="1" applyFill="1" applyBorder="1" applyAlignment="1">
      <alignment vertical="center"/>
    </xf>
    <xf numFmtId="0" fontId="27" fillId="23" borderId="0" xfId="0" applyFont="1" applyFill="1" applyAlignment="1">
      <alignment vertical="center"/>
    </xf>
    <xf numFmtId="0" fontId="69" fillId="23" borderId="135" xfId="0" applyFont="1" applyFill="1" applyBorder="1" applyAlignment="1">
      <alignment horizontal="center" vertical="center"/>
    </xf>
    <xf numFmtId="0" fontId="69" fillId="23" borderId="88" xfId="0" applyFont="1" applyFill="1" applyBorder="1" applyAlignment="1">
      <alignment horizontal="center" vertical="center"/>
    </xf>
    <xf numFmtId="0" fontId="70" fillId="4" borderId="133" xfId="0" applyFont="1" applyFill="1" applyBorder="1" applyAlignment="1">
      <alignment horizontal="center" vertical="center"/>
    </xf>
    <xf numFmtId="0" fontId="70" fillId="4" borderId="134" xfId="0" applyFont="1" applyFill="1" applyBorder="1" applyAlignment="1">
      <alignment horizontal="center" vertical="center"/>
    </xf>
    <xf numFmtId="0" fontId="70" fillId="4" borderId="135" xfId="0" applyFont="1" applyFill="1" applyBorder="1" applyAlignment="1">
      <alignment horizontal="center" vertical="center"/>
    </xf>
    <xf numFmtId="0" fontId="70" fillId="4" borderId="139" xfId="0" applyFont="1" applyFill="1" applyBorder="1" applyAlignment="1">
      <alignment horizontal="center" vertical="center"/>
    </xf>
    <xf numFmtId="0" fontId="70" fillId="4" borderId="32" xfId="0" applyFont="1" applyFill="1" applyBorder="1" applyAlignment="1">
      <alignment horizontal="center" vertical="center"/>
    </xf>
    <xf numFmtId="0" fontId="70" fillId="4" borderId="98" xfId="0" applyFont="1" applyFill="1" applyBorder="1" applyAlignment="1">
      <alignment horizontal="center" vertical="center"/>
    </xf>
    <xf numFmtId="0" fontId="27" fillId="23" borderId="87" xfId="0" applyFont="1" applyFill="1" applyBorder="1" applyAlignment="1">
      <alignment horizontal="center" vertical="center"/>
    </xf>
    <xf numFmtId="0" fontId="27" fillId="23" borderId="0" xfId="0" applyFont="1" applyFill="1" applyAlignment="1">
      <alignment horizontal="center" vertical="center"/>
    </xf>
    <xf numFmtId="0" fontId="27" fillId="23" borderId="139" xfId="0" applyFont="1" applyFill="1" applyBorder="1" applyAlignment="1">
      <alignment horizontal="center" vertical="center"/>
    </xf>
    <xf numFmtId="0" fontId="27" fillId="23" borderId="32" xfId="0" applyFont="1" applyFill="1" applyBorder="1" applyAlignment="1">
      <alignment horizontal="center" vertical="center"/>
    </xf>
    <xf numFmtId="0" fontId="69" fillId="23" borderId="98" xfId="0" applyFont="1" applyFill="1" applyBorder="1" applyAlignment="1">
      <alignment horizontal="center" vertical="center"/>
    </xf>
    <xf numFmtId="0" fontId="64" fillId="23" borderId="139" xfId="0" applyFont="1" applyFill="1" applyBorder="1" applyAlignment="1">
      <alignment horizontal="center"/>
    </xf>
    <xf numFmtId="0" fontId="64" fillId="23" borderId="32" xfId="0" applyFont="1" applyFill="1" applyBorder="1" applyAlignment="1">
      <alignment horizontal="center"/>
    </xf>
    <xf numFmtId="0" fontId="64" fillId="23" borderId="98" xfId="0" applyFont="1" applyFill="1" applyBorder="1" applyAlignment="1">
      <alignment horizontal="center"/>
    </xf>
    <xf numFmtId="0" fontId="27" fillId="4" borderId="133" xfId="0" applyFont="1" applyFill="1" applyBorder="1" applyAlignment="1">
      <alignment horizontal="center" vertical="center" wrapText="1"/>
    </xf>
    <xf numFmtId="0" fontId="27" fillId="4" borderId="134" xfId="0" applyFont="1" applyFill="1" applyBorder="1" applyAlignment="1">
      <alignment horizontal="center" vertical="center" wrapText="1"/>
    </xf>
    <xf numFmtId="0" fontId="27" fillId="4" borderId="135" xfId="0" applyFont="1" applyFill="1" applyBorder="1" applyAlignment="1">
      <alignment horizontal="center" vertical="center" wrapText="1"/>
    </xf>
    <xf numFmtId="0" fontId="27" fillId="4" borderId="87" xfId="0" applyFont="1" applyFill="1" applyBorder="1" applyAlignment="1">
      <alignment horizontal="center" vertical="center" wrapText="1"/>
    </xf>
    <xf numFmtId="0" fontId="27" fillId="4" borderId="0" xfId="0" applyFont="1" applyFill="1" applyAlignment="1">
      <alignment horizontal="center" vertical="center" wrapText="1"/>
    </xf>
    <xf numFmtId="0" fontId="27" fillId="4" borderId="88" xfId="0" applyFont="1" applyFill="1" applyBorder="1" applyAlignment="1">
      <alignment horizontal="center" vertical="center" wrapText="1"/>
    </xf>
    <xf numFmtId="0" fontId="27" fillId="4" borderId="139" xfId="0" applyFont="1" applyFill="1" applyBorder="1" applyAlignment="1">
      <alignment horizontal="center" vertical="center" wrapText="1"/>
    </xf>
    <xf numFmtId="0" fontId="27" fillId="4" borderId="32" xfId="0" applyFont="1" applyFill="1" applyBorder="1" applyAlignment="1">
      <alignment horizontal="center" vertical="center" wrapText="1"/>
    </xf>
    <xf numFmtId="0" fontId="27" fillId="4" borderId="98" xfId="0" applyFont="1" applyFill="1" applyBorder="1" applyAlignment="1">
      <alignment horizontal="center" vertical="center" wrapText="1"/>
    </xf>
    <xf numFmtId="0" fontId="0" fillId="24" borderId="0" xfId="0" applyFill="1" applyAlignment="1">
      <alignment horizontal="left" vertical="center"/>
    </xf>
    <xf numFmtId="0" fontId="27" fillId="23" borderId="133" xfId="0" applyFont="1" applyFill="1" applyBorder="1" applyAlignment="1">
      <alignment horizontal="center"/>
    </xf>
    <xf numFmtId="0" fontId="27" fillId="23" borderId="134" xfId="0" applyFont="1" applyFill="1" applyBorder="1" applyAlignment="1">
      <alignment horizontal="center"/>
    </xf>
    <xf numFmtId="0" fontId="69" fillId="23" borderId="134" xfId="0" applyFont="1" applyFill="1" applyBorder="1" applyAlignment="1">
      <alignment horizontal="center" vertical="center"/>
    </xf>
    <xf numFmtId="0" fontId="27" fillId="23" borderId="133" xfId="0" applyFont="1" applyFill="1" applyBorder="1" applyAlignment="1">
      <alignment horizontal="center" vertical="center"/>
    </xf>
    <xf numFmtId="0" fontId="69" fillId="23" borderId="0" xfId="0" applyFont="1" applyFill="1" applyAlignment="1">
      <alignment horizontal="center" vertical="center"/>
    </xf>
    <xf numFmtId="0" fontId="0" fillId="23" borderId="0" xfId="0" applyFill="1" applyAlignment="1">
      <alignment horizontal="center" vertical="center"/>
    </xf>
    <xf numFmtId="0" fontId="0" fillId="23" borderId="134" xfId="0" applyFill="1" applyBorder="1" applyAlignment="1">
      <alignment horizontal="center" vertical="center"/>
    </xf>
    <xf numFmtId="0" fontId="68" fillId="17" borderId="79" xfId="0" applyFont="1" applyFill="1" applyBorder="1" applyAlignment="1">
      <alignment horizontal="left" vertical="center"/>
    </xf>
    <xf numFmtId="0" fontId="68" fillId="17" borderId="81" xfId="0" applyFont="1" applyFill="1" applyBorder="1" applyAlignment="1">
      <alignment horizontal="left" vertical="center"/>
    </xf>
    <xf numFmtId="0" fontId="27" fillId="4" borderId="79" xfId="0" applyFont="1" applyFill="1" applyBorder="1" applyAlignment="1">
      <alignment horizontal="center" vertical="center"/>
    </xf>
    <xf numFmtId="0" fontId="27" fillId="4" borderId="81" xfId="0" applyFont="1" applyFill="1" applyBorder="1" applyAlignment="1">
      <alignment horizontal="center" vertical="center"/>
    </xf>
    <xf numFmtId="0" fontId="13" fillId="25" borderId="79" xfId="0" applyFont="1" applyFill="1" applyBorder="1" applyAlignment="1">
      <alignment horizontal="center" vertical="center"/>
    </xf>
    <xf numFmtId="0" fontId="13" fillId="25" borderId="80" xfId="0" applyFont="1" applyFill="1" applyBorder="1" applyAlignment="1">
      <alignment horizontal="center" vertical="center"/>
    </xf>
    <xf numFmtId="0" fontId="13" fillId="25" borderId="81" xfId="0" applyFont="1" applyFill="1" applyBorder="1" applyAlignment="1">
      <alignment horizontal="center" vertical="center"/>
    </xf>
    <xf numFmtId="0" fontId="66" fillId="6" borderId="144" xfId="0" applyFont="1" applyFill="1" applyBorder="1" applyAlignment="1">
      <alignment horizontal="center" vertical="center"/>
    </xf>
    <xf numFmtId="0" fontId="66" fillId="6" borderId="145" xfId="0" applyFont="1" applyFill="1" applyBorder="1" applyAlignment="1">
      <alignment horizontal="center" vertical="center"/>
    </xf>
    <xf numFmtId="0" fontId="66" fillId="6" borderId="146" xfId="0" applyFont="1" applyFill="1" applyBorder="1" applyAlignment="1">
      <alignment horizontal="center" vertical="center"/>
    </xf>
    <xf numFmtId="0" fontId="66" fillId="6" borderId="147" xfId="0" applyFont="1" applyFill="1" applyBorder="1" applyAlignment="1">
      <alignment horizontal="center" vertical="center"/>
    </xf>
    <xf numFmtId="0" fontId="66" fillId="6" borderId="148" xfId="0" applyFont="1" applyFill="1" applyBorder="1" applyAlignment="1">
      <alignment horizontal="center" vertical="center"/>
    </xf>
    <xf numFmtId="0" fontId="66" fillId="6" borderId="149" xfId="0" applyFont="1" applyFill="1" applyBorder="1" applyAlignment="1">
      <alignment horizontal="center" vertical="center"/>
    </xf>
    <xf numFmtId="0" fontId="27" fillId="4" borderId="80" xfId="0" applyFont="1" applyFill="1" applyBorder="1" applyAlignment="1">
      <alignment horizontal="center" vertical="center"/>
    </xf>
    <xf numFmtId="0" fontId="27" fillId="16" borderId="79" xfId="0" applyFont="1" applyFill="1" applyBorder="1" applyAlignment="1">
      <alignment horizontal="center" vertical="center"/>
    </xf>
    <xf numFmtId="0" fontId="27" fillId="16" borderId="80" xfId="0" applyFont="1" applyFill="1" applyBorder="1" applyAlignment="1">
      <alignment horizontal="center" vertical="center"/>
    </xf>
    <xf numFmtId="0" fontId="27" fillId="16" borderId="81" xfId="0" applyFont="1" applyFill="1" applyBorder="1" applyAlignment="1">
      <alignment horizontal="center" vertical="center"/>
    </xf>
    <xf numFmtId="0" fontId="0" fillId="26" borderId="0" xfId="0" applyFill="1" applyAlignment="1">
      <alignment horizontal="center" vertical="center"/>
    </xf>
    <xf numFmtId="0" fontId="0" fillId="26" borderId="32" xfId="0" applyFill="1" applyBorder="1" applyAlignment="1">
      <alignment horizontal="center" vertical="center"/>
    </xf>
    <xf numFmtId="0" fontId="74" fillId="26" borderId="0" xfId="0" applyFont="1" applyFill="1" applyAlignment="1">
      <alignment horizontal="center" vertical="center"/>
    </xf>
    <xf numFmtId="0" fontId="0" fillId="26" borderId="134" xfId="0" applyFill="1" applyBorder="1" applyAlignment="1">
      <alignment horizontal="center" vertical="center"/>
    </xf>
    <xf numFmtId="0" fontId="68" fillId="6" borderId="79" xfId="0" applyFont="1" applyFill="1" applyBorder="1" applyAlignment="1">
      <alignment horizontal="center" vertical="center"/>
    </xf>
    <xf numFmtId="0" fontId="68" fillId="6" borderId="81" xfId="0" applyFont="1" applyFill="1" applyBorder="1" applyAlignment="1">
      <alignment horizontal="center" vertical="center"/>
    </xf>
    <xf numFmtId="0" fontId="0" fillId="26" borderId="0" xfId="0" applyFill="1" applyAlignment="1">
      <alignment horizontal="center" vertical="center" wrapText="1"/>
    </xf>
    <xf numFmtId="0" fontId="27" fillId="16" borderId="79" xfId="0" applyFont="1" applyFill="1" applyBorder="1" applyAlignment="1">
      <alignment horizontal="center"/>
    </xf>
    <xf numFmtId="0" fontId="27" fillId="16" borderId="80" xfId="0" applyFont="1" applyFill="1" applyBorder="1" applyAlignment="1">
      <alignment horizontal="center"/>
    </xf>
    <xf numFmtId="0" fontId="27" fillId="16" borderId="81" xfId="0" applyFont="1" applyFill="1" applyBorder="1" applyAlignment="1">
      <alignment horizontal="center"/>
    </xf>
    <xf numFmtId="0" fontId="0" fillId="23" borderId="0" xfId="0" applyFill="1" applyAlignment="1">
      <alignment horizontal="center"/>
    </xf>
    <xf numFmtId="0" fontId="0" fillId="23" borderId="0" xfId="0" applyFill="1" applyAlignment="1">
      <alignment horizontal="center" vertical="center" wrapText="1"/>
    </xf>
    <xf numFmtId="0" fontId="0" fillId="26" borderId="0" xfId="0" applyFill="1" applyAlignment="1">
      <alignment horizontal="center"/>
    </xf>
    <xf numFmtId="0" fontId="0" fillId="26" borderId="134" xfId="0" applyFill="1" applyBorder="1" applyAlignment="1">
      <alignment horizontal="center"/>
    </xf>
    <xf numFmtId="0" fontId="62" fillId="16" borderId="79" xfId="0" applyFont="1" applyFill="1" applyBorder="1" applyAlignment="1">
      <alignment horizontal="center"/>
    </xf>
    <xf numFmtId="0" fontId="62" fillId="16" borderId="80" xfId="0" applyFont="1" applyFill="1" applyBorder="1" applyAlignment="1">
      <alignment horizontal="center"/>
    </xf>
    <xf numFmtId="0" fontId="62" fillId="16" borderId="81" xfId="0" applyFont="1" applyFill="1" applyBorder="1" applyAlignment="1">
      <alignment horizontal="center"/>
    </xf>
    <xf numFmtId="0" fontId="0" fillId="23" borderId="134" xfId="0" applyFill="1" applyBorder="1" applyAlignment="1">
      <alignment horizontal="center"/>
    </xf>
    <xf numFmtId="0" fontId="58" fillId="27" borderId="0" xfId="0" applyFont="1" applyFill="1" applyAlignment="1">
      <alignment horizontal="center" vertical="center"/>
    </xf>
    <xf numFmtId="0" fontId="76" fillId="27" borderId="0" xfId="0" applyFont="1" applyFill="1" applyAlignment="1">
      <alignment horizontal="center" vertical="center"/>
    </xf>
    <xf numFmtId="0" fontId="77" fillId="27" borderId="0" xfId="0" applyFont="1" applyFill="1" applyAlignment="1">
      <alignment horizontal="center"/>
    </xf>
    <xf numFmtId="0" fontId="11" fillId="27" borderId="0" xfId="0" applyFont="1" applyFill="1" applyAlignment="1">
      <alignment horizontal="left" vertical="center" wrapText="1"/>
    </xf>
    <xf numFmtId="0" fontId="11" fillId="27" borderId="0" xfId="0" applyFont="1" applyFill="1" applyAlignment="1">
      <alignment horizontal="left" vertical="center"/>
    </xf>
    <xf numFmtId="0" fontId="77" fillId="27" borderId="0" xfId="0" applyFont="1" applyFill="1" applyAlignment="1">
      <alignment horizontal="center" vertical="center"/>
    </xf>
    <xf numFmtId="0" fontId="11" fillId="27" borderId="0" xfId="0" applyFont="1" applyFill="1" applyAlignment="1">
      <alignment horizontal="center" vertical="center"/>
    </xf>
    <xf numFmtId="0" fontId="27" fillId="6" borderId="79" xfId="0" applyFont="1" applyFill="1" applyBorder="1" applyAlignment="1">
      <alignment horizontal="center"/>
    </xf>
    <xf numFmtId="0" fontId="27" fillId="6" borderId="80" xfId="0" applyFont="1" applyFill="1" applyBorder="1" applyAlignment="1">
      <alignment horizontal="center"/>
    </xf>
    <xf numFmtId="0" fontId="27" fillId="6" borderId="81" xfId="0" applyFont="1" applyFill="1" applyBorder="1" applyAlignment="1">
      <alignment horizontal="center"/>
    </xf>
    <xf numFmtId="0" fontId="27" fillId="15" borderId="79" xfId="0" applyFont="1" applyFill="1" applyBorder="1" applyAlignment="1">
      <alignment horizontal="center" vertical="center"/>
    </xf>
    <xf numFmtId="0" fontId="27" fillId="15" borderId="80" xfId="0" applyFont="1" applyFill="1" applyBorder="1" applyAlignment="1">
      <alignment horizontal="center" vertical="center"/>
    </xf>
    <xf numFmtId="0" fontId="27" fillId="15" borderId="81" xfId="0" applyFont="1" applyFill="1" applyBorder="1" applyAlignment="1">
      <alignment horizontal="center" vertical="center"/>
    </xf>
    <xf numFmtId="0" fontId="27" fillId="14" borderId="79" xfId="0" applyFont="1" applyFill="1" applyBorder="1" applyAlignment="1">
      <alignment horizontal="center" vertical="center"/>
    </xf>
    <xf numFmtId="0" fontId="27" fillId="14" borderId="80" xfId="0" applyFont="1" applyFill="1" applyBorder="1" applyAlignment="1">
      <alignment horizontal="center" vertical="center"/>
    </xf>
    <xf numFmtId="0" fontId="27" fillId="14" borderId="81" xfId="0" applyFont="1" applyFill="1" applyBorder="1" applyAlignment="1">
      <alignment horizontal="center" vertical="center"/>
    </xf>
    <xf numFmtId="0" fontId="27" fillId="15" borderId="79" xfId="0" applyFont="1" applyFill="1" applyBorder="1" applyAlignment="1">
      <alignment horizontal="center"/>
    </xf>
    <xf numFmtId="0" fontId="27" fillId="15" borderId="80" xfId="0" applyFont="1" applyFill="1" applyBorder="1" applyAlignment="1">
      <alignment horizontal="center"/>
    </xf>
    <xf numFmtId="0" fontId="27" fillId="15" borderId="81" xfId="0" applyFont="1" applyFill="1" applyBorder="1" applyAlignment="1">
      <alignment horizontal="center"/>
    </xf>
    <xf numFmtId="0" fontId="27" fillId="18" borderId="79" xfId="0" applyFont="1" applyFill="1" applyBorder="1" applyAlignment="1">
      <alignment horizontal="center" vertical="center"/>
    </xf>
    <xf numFmtId="0" fontId="27" fillId="18" borderId="80" xfId="0" applyFont="1" applyFill="1" applyBorder="1" applyAlignment="1">
      <alignment horizontal="center" vertical="center"/>
    </xf>
    <xf numFmtId="0" fontId="27" fillId="18" borderId="81" xfId="0" applyFont="1" applyFill="1" applyBorder="1" applyAlignment="1">
      <alignment horizontal="center" vertical="center"/>
    </xf>
    <xf numFmtId="0" fontId="69" fillId="6" borderId="144" xfId="0" applyFont="1" applyFill="1" applyBorder="1" applyAlignment="1">
      <alignment horizontal="center" wrapText="1"/>
    </xf>
    <xf numFmtId="0" fontId="69" fillId="6" borderId="145" xfId="0" applyFont="1" applyFill="1" applyBorder="1" applyAlignment="1">
      <alignment horizontal="center"/>
    </xf>
    <xf numFmtId="0" fontId="69" fillId="6" borderId="146" xfId="0" applyFont="1" applyFill="1" applyBorder="1" applyAlignment="1">
      <alignment horizontal="center"/>
    </xf>
    <xf numFmtId="0" fontId="69" fillId="6" borderId="147" xfId="0" applyFont="1" applyFill="1" applyBorder="1" applyAlignment="1">
      <alignment horizontal="center"/>
    </xf>
    <xf numFmtId="0" fontId="69" fillId="6" borderId="148" xfId="0" applyFont="1" applyFill="1" applyBorder="1" applyAlignment="1">
      <alignment horizontal="center"/>
    </xf>
    <xf numFmtId="0" fontId="69" fillId="6" borderId="149" xfId="0" applyFont="1" applyFill="1" applyBorder="1" applyAlignment="1">
      <alignment horizontal="center"/>
    </xf>
    <xf numFmtId="0" fontId="27" fillId="29" borderId="0" xfId="0" applyFont="1" applyFill="1" applyAlignment="1">
      <alignment horizontal="center"/>
    </xf>
    <xf numFmtId="0" fontId="27" fillId="28" borderId="133" xfId="0" applyFont="1" applyFill="1" applyBorder="1" applyAlignment="1">
      <alignment horizontal="center" vertical="center"/>
    </xf>
    <xf numFmtId="0" fontId="27" fillId="28" borderId="134" xfId="0" applyFont="1" applyFill="1" applyBorder="1" applyAlignment="1">
      <alignment horizontal="center" vertical="center"/>
    </xf>
    <xf numFmtId="0" fontId="27" fillId="28" borderId="135" xfId="0" applyFont="1" applyFill="1" applyBorder="1" applyAlignment="1">
      <alignment horizontal="center" vertical="center"/>
    </xf>
    <xf numFmtId="0" fontId="27" fillId="28" borderId="139" xfId="0" applyFont="1" applyFill="1" applyBorder="1" applyAlignment="1">
      <alignment horizontal="center" vertical="center"/>
    </xf>
    <xf numFmtId="0" fontId="27" fillId="28" borderId="32" xfId="0" applyFont="1" applyFill="1" applyBorder="1" applyAlignment="1">
      <alignment horizontal="center" vertical="center"/>
    </xf>
    <xf numFmtId="0" fontId="27" fillId="28" borderId="98" xfId="0" applyFont="1" applyFill="1" applyBorder="1" applyAlignment="1">
      <alignment horizontal="center" vertical="center"/>
    </xf>
    <xf numFmtId="0" fontId="27" fillId="23" borderId="133" xfId="0" applyFont="1" applyFill="1" applyBorder="1" applyAlignment="1">
      <alignment horizontal="center" vertical="top"/>
    </xf>
    <xf numFmtId="0" fontId="27" fillId="23" borderId="134" xfId="0" applyFont="1" applyFill="1" applyBorder="1" applyAlignment="1">
      <alignment horizontal="center" vertical="top"/>
    </xf>
    <xf numFmtId="0" fontId="27" fillId="23" borderId="135" xfId="0" applyFont="1" applyFill="1" applyBorder="1" applyAlignment="1">
      <alignment horizontal="center" vertical="top"/>
    </xf>
    <xf numFmtId="0" fontId="0" fillId="15" borderId="133" xfId="0" applyFill="1" applyBorder="1" applyAlignment="1">
      <alignment horizontal="center" vertical="center" wrapText="1"/>
    </xf>
    <xf numFmtId="0" fontId="0" fillId="15" borderId="135" xfId="0" applyFill="1" applyBorder="1"/>
    <xf numFmtId="0" fontId="0" fillId="15" borderId="139" xfId="0" applyFill="1" applyBorder="1"/>
    <xf numFmtId="0" fontId="0" fillId="15" borderId="98" xfId="0" applyFill="1" applyBorder="1"/>
    <xf numFmtId="0" fontId="27" fillId="23" borderId="139" xfId="0" applyFont="1" applyFill="1" applyBorder="1" applyAlignment="1">
      <alignment horizontal="center"/>
    </xf>
    <xf numFmtId="0" fontId="27" fillId="23" borderId="32" xfId="0" applyFont="1" applyFill="1" applyBorder="1" applyAlignment="1">
      <alignment horizontal="center"/>
    </xf>
    <xf numFmtId="0" fontId="27" fillId="23" borderId="98" xfId="0" applyFont="1" applyFill="1" applyBorder="1" applyAlignment="1">
      <alignment horizontal="center"/>
    </xf>
    <xf numFmtId="0" fontId="16" fillId="4" borderId="0" xfId="0" applyFont="1" applyFill="1" applyAlignment="1">
      <alignment horizontal="center" vertical="center"/>
    </xf>
    <xf numFmtId="0" fontId="6" fillId="6" borderId="0" xfId="0" applyFont="1" applyFill="1" applyAlignment="1">
      <alignment horizontal="center"/>
    </xf>
    <xf numFmtId="164" fontId="6" fillId="0" borderId="0" xfId="0" applyNumberFormat="1" applyFont="1" applyAlignment="1">
      <alignment horizontal="center" vertical="center"/>
    </xf>
    <xf numFmtId="0" fontId="6" fillId="0" borderId="0" xfId="0" applyFont="1" applyAlignment="1">
      <alignment horizontal="left" vertical="center"/>
    </xf>
    <xf numFmtId="0" fontId="6" fillId="11" borderId="0" xfId="0" applyFont="1" applyFill="1" applyAlignment="1">
      <alignment horizontal="center"/>
    </xf>
    <xf numFmtId="0" fontId="0" fillId="0" borderId="25"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65" xfId="0" applyBorder="1" applyAlignment="1" applyProtection="1">
      <alignment horizontal="center"/>
      <protection locked="0"/>
    </xf>
    <xf numFmtId="172" fontId="6" fillId="0" borderId="26" xfId="0" applyNumberFormat="1" applyFont="1" applyBorder="1" applyAlignment="1">
      <alignment horizontal="center"/>
    </xf>
    <xf numFmtId="0" fontId="6" fillId="0" borderId="26" xfId="0" applyFont="1" applyBorder="1" applyAlignment="1">
      <alignment horizontal="center"/>
    </xf>
    <xf numFmtId="172" fontId="6" fillId="0" borderId="0" xfId="0" applyNumberFormat="1" applyFont="1" applyAlignment="1">
      <alignment horizontal="center"/>
    </xf>
    <xf numFmtId="0" fontId="6" fillId="0" borderId="0" xfId="0" applyFont="1" applyAlignment="1">
      <alignment horizontal="center"/>
    </xf>
    <xf numFmtId="0" fontId="44" fillId="0" borderId="0" xfId="0" applyFont="1" applyAlignment="1" applyProtection="1">
      <alignment horizontal="center" vertical="center"/>
      <protection locked="0"/>
    </xf>
    <xf numFmtId="164" fontId="6" fillId="0" borderId="0" xfId="0" applyNumberFormat="1" applyFont="1" applyAlignment="1">
      <alignment horizontal="left" vertical="center"/>
    </xf>
    <xf numFmtId="0" fontId="3" fillId="6" borderId="0" xfId="0" applyFont="1" applyFill="1" applyAlignment="1">
      <alignment horizontal="center"/>
    </xf>
    <xf numFmtId="0" fontId="14" fillId="7" borderId="13" xfId="0" applyFont="1" applyFill="1" applyBorder="1" applyAlignment="1">
      <alignment horizontal="center" vertical="center"/>
    </xf>
    <xf numFmtId="0" fontId="14" fillId="7" borderId="33" xfId="0" applyFont="1" applyFill="1" applyBorder="1" applyAlignment="1">
      <alignment horizontal="center" vertical="center"/>
    </xf>
    <xf numFmtId="0" fontId="14" fillId="7" borderId="14" xfId="0" applyFont="1" applyFill="1" applyBorder="1" applyAlignment="1">
      <alignment horizontal="center" vertical="center"/>
    </xf>
    <xf numFmtId="0" fontId="7" fillId="10" borderId="0" xfId="0" applyFont="1" applyFill="1" applyAlignment="1">
      <alignment horizontal="center"/>
    </xf>
    <xf numFmtId="2" fontId="6" fillId="0" borderId="0" xfId="0" applyNumberFormat="1" applyFont="1" applyAlignment="1">
      <alignment horizontal="center" vertical="center"/>
    </xf>
    <xf numFmtId="0" fontId="7" fillId="0" borderId="0" xfId="0" applyFont="1" applyAlignment="1">
      <alignment horizontal="center" vertical="center"/>
    </xf>
    <xf numFmtId="0" fontId="15" fillId="0" borderId="0" xfId="0" applyFont="1" applyAlignment="1">
      <alignment horizontal="center" vertical="center"/>
    </xf>
    <xf numFmtId="9" fontId="6" fillId="0" borderId="0" xfId="0" applyNumberFormat="1" applyFont="1" applyAlignment="1">
      <alignment horizontal="center" vertical="center"/>
    </xf>
    <xf numFmtId="0" fontId="11" fillId="0" borderId="91" xfId="0" applyFont="1" applyBorder="1" applyAlignment="1">
      <alignment horizontal="left" vertical="top"/>
    </xf>
    <xf numFmtId="0" fontId="11" fillId="0" borderId="52" xfId="0" applyFont="1" applyBorder="1" applyAlignment="1">
      <alignment horizontal="left" vertical="top"/>
    </xf>
    <xf numFmtId="0" fontId="11" fillId="0" borderId="22" xfId="0" applyFont="1" applyBorder="1" applyAlignment="1">
      <alignment horizontal="left" vertical="top"/>
    </xf>
    <xf numFmtId="0" fontId="11" fillId="0" borderId="26" xfId="0" applyFont="1" applyBorder="1" applyAlignment="1">
      <alignment horizontal="left" vertical="top"/>
    </xf>
    <xf numFmtId="0" fontId="11" fillId="0" borderId="92" xfId="0" applyFont="1" applyBorder="1" applyAlignment="1">
      <alignment horizontal="left" vertical="top"/>
    </xf>
    <xf numFmtId="0" fontId="11" fillId="0" borderId="68" xfId="0" applyFont="1" applyBorder="1" applyAlignment="1">
      <alignment horizontal="left" vertical="top"/>
    </xf>
    <xf numFmtId="0" fontId="11" fillId="0" borderId="24" xfId="0" applyFont="1" applyBorder="1" applyAlignment="1">
      <alignment horizontal="left" vertical="top"/>
    </xf>
    <xf numFmtId="0" fontId="11" fillId="0" borderId="27" xfId="0" applyFont="1" applyBorder="1" applyAlignment="1">
      <alignment horizontal="left" vertical="top"/>
    </xf>
    <xf numFmtId="0" fontId="11" fillId="0" borderId="25" xfId="0" applyFont="1" applyBorder="1" applyAlignment="1">
      <alignment horizontal="center"/>
    </xf>
    <xf numFmtId="0" fontId="11" fillId="0" borderId="20" xfId="0" applyFont="1" applyBorder="1" applyAlignment="1">
      <alignment horizontal="center"/>
    </xf>
    <xf numFmtId="0" fontId="11" fillId="0" borderId="21" xfId="0" applyFont="1" applyBorder="1" applyAlignment="1">
      <alignment horizontal="center"/>
    </xf>
    <xf numFmtId="0" fontId="13" fillId="0" borderId="19" xfId="0" applyFont="1" applyBorder="1" applyAlignment="1">
      <alignment horizontal="left" vertical="top"/>
    </xf>
    <xf numFmtId="0" fontId="13" fillId="0" borderId="20" xfId="0" applyFont="1" applyBorder="1" applyAlignment="1">
      <alignment horizontal="left" vertical="top"/>
    </xf>
    <xf numFmtId="0" fontId="13" fillId="0" borderId="21" xfId="0" applyFont="1" applyBorder="1" applyAlignment="1">
      <alignment horizontal="left" vertical="top"/>
    </xf>
    <xf numFmtId="0" fontId="13" fillId="0" borderId="96" xfId="0" applyFont="1" applyBorder="1" applyAlignment="1">
      <alignment horizontal="left" vertical="top"/>
    </xf>
    <xf numFmtId="0" fontId="13" fillId="0" borderId="97" xfId="0" applyFont="1" applyBorder="1" applyAlignment="1">
      <alignment horizontal="left" vertical="top"/>
    </xf>
    <xf numFmtId="0" fontId="13" fillId="0" borderId="32" xfId="0" applyFont="1" applyBorder="1" applyAlignment="1">
      <alignment horizontal="left" vertical="top"/>
    </xf>
    <xf numFmtId="0" fontId="13" fillId="0" borderId="98" xfId="0" applyFont="1" applyBorder="1" applyAlignment="1">
      <alignment horizontal="left" vertical="top"/>
    </xf>
    <xf numFmtId="0" fontId="6" fillId="0" borderId="0" xfId="0" applyFont="1" applyAlignment="1">
      <alignment horizontal="left" vertical="center" wrapText="1"/>
    </xf>
    <xf numFmtId="0" fontId="22" fillId="0" borderId="25" xfId="0" applyFont="1" applyBorder="1" applyAlignment="1">
      <alignment horizontal="center" vertical="center"/>
    </xf>
    <xf numFmtId="0" fontId="22" fillId="0" borderId="65" xfId="0" applyFont="1" applyBorder="1" applyAlignment="1">
      <alignment horizontal="center" vertical="center"/>
    </xf>
    <xf numFmtId="0" fontId="22" fillId="0" borderId="29" xfId="0" applyFont="1" applyBorder="1" applyAlignment="1">
      <alignment horizontal="center" vertical="center"/>
    </xf>
    <xf numFmtId="0" fontId="22" fillId="0" borderId="24" xfId="0" applyFont="1" applyBorder="1" applyAlignment="1">
      <alignment horizontal="center" vertical="center"/>
    </xf>
    <xf numFmtId="0" fontId="22" fillId="0" borderId="30" xfId="0" applyFont="1" applyBorder="1" applyAlignment="1">
      <alignment horizontal="center" vertical="center"/>
    </xf>
    <xf numFmtId="0" fontId="22" fillId="0" borderId="27" xfId="0" applyFont="1" applyBorder="1" applyAlignment="1">
      <alignment horizontal="center" vertical="center"/>
    </xf>
    <xf numFmtId="0" fontId="4" fillId="0" borderId="9" xfId="0" applyFont="1" applyBorder="1" applyAlignment="1">
      <alignment horizontal="right" vertical="center" wrapText="1"/>
    </xf>
    <xf numFmtId="6" fontId="6" fillId="0" borderId="43" xfId="0" applyNumberFormat="1" applyFont="1" applyBorder="1" applyAlignment="1">
      <alignment horizontal="center" vertical="center" wrapText="1"/>
    </xf>
    <xf numFmtId="6" fontId="6" fillId="0" borderId="46" xfId="0" applyNumberFormat="1" applyFont="1" applyBorder="1" applyAlignment="1">
      <alignment horizontal="center" vertical="center" wrapText="1"/>
    </xf>
    <xf numFmtId="0" fontId="4" fillId="0" borderId="12" xfId="0" applyFont="1" applyBorder="1" applyAlignment="1">
      <alignment horizontal="center" vertical="center" wrapText="1"/>
    </xf>
    <xf numFmtId="0" fontId="4" fillId="0" borderId="11" xfId="0" applyFont="1" applyBorder="1" applyAlignment="1">
      <alignment horizontal="center" vertical="center"/>
    </xf>
    <xf numFmtId="0" fontId="4" fillId="0" borderId="4" xfId="0" applyFont="1" applyBorder="1" applyAlignment="1">
      <alignment horizontal="center" vertical="center" wrapText="1"/>
    </xf>
    <xf numFmtId="0" fontId="4" fillId="0" borderId="10"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16" fillId="4" borderId="0" xfId="0" applyFont="1" applyFill="1" applyAlignment="1">
      <alignment horizontal="left"/>
    </xf>
    <xf numFmtId="0" fontId="4" fillId="0" borderId="15" xfId="0" applyFont="1" applyBorder="1" applyAlignment="1">
      <alignment horizontal="center" vertical="center"/>
    </xf>
    <xf numFmtId="0" fontId="4" fillId="0" borderId="12"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6" fontId="6" fillId="0" borderId="11" xfId="0" applyNumberFormat="1" applyFont="1" applyBorder="1" applyAlignment="1">
      <alignment horizontal="center" vertical="center" wrapText="1"/>
    </xf>
    <xf numFmtId="0" fontId="15" fillId="0" borderId="41" xfId="0" applyFont="1" applyBorder="1" applyAlignment="1">
      <alignment horizontal="center" vertical="center" wrapText="1"/>
    </xf>
    <xf numFmtId="0" fontId="15" fillId="0" borderId="40"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15" fillId="0" borderId="6" xfId="0" applyFont="1" applyBorder="1" applyAlignment="1">
      <alignment horizontal="center" vertical="center" wrapText="1"/>
    </xf>
    <xf numFmtId="8" fontId="6" fillId="0" borderId="45" xfId="0" applyNumberFormat="1" applyFont="1" applyBorder="1" applyAlignment="1">
      <alignment horizontal="center" vertical="center" wrapText="1"/>
    </xf>
    <xf numFmtId="6" fontId="6" fillId="0" borderId="42" xfId="0" applyNumberFormat="1" applyFont="1" applyBorder="1" applyAlignment="1">
      <alignment horizontal="center" vertical="center" wrapText="1"/>
    </xf>
    <xf numFmtId="6" fontId="6" fillId="0" borderId="47" xfId="0" applyNumberFormat="1" applyFont="1" applyBorder="1" applyAlignment="1">
      <alignment horizontal="center" vertical="center" wrapText="1"/>
    </xf>
    <xf numFmtId="0" fontId="6" fillId="0" borderId="38" xfId="0" applyFont="1" applyBorder="1" applyAlignment="1">
      <alignment horizontal="center" vertical="center" wrapText="1"/>
    </xf>
    <xf numFmtId="0" fontId="6" fillId="0" borderId="0" xfId="0" applyFont="1" applyAlignment="1">
      <alignment horizontal="right" vertical="center"/>
    </xf>
    <xf numFmtId="0" fontId="14" fillId="7" borderId="13" xfId="0" applyFont="1" applyFill="1" applyBorder="1" applyAlignment="1">
      <alignment horizontal="center" vertical="center" wrapText="1"/>
    </xf>
    <xf numFmtId="0" fontId="14" fillId="7" borderId="33"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6" fillId="0" borderId="50" xfId="0" applyFont="1" applyBorder="1" applyAlignment="1">
      <alignment horizontal="center" vertical="center" wrapText="1"/>
    </xf>
    <xf numFmtId="8" fontId="6" fillId="0" borderId="52" xfId="0" applyNumberFormat="1" applyFont="1" applyBorder="1" applyAlignment="1">
      <alignment horizontal="center" vertical="center" wrapText="1"/>
    </xf>
    <xf numFmtId="8" fontId="6" fillId="0" borderId="38" xfId="0" applyNumberFormat="1" applyFont="1" applyBorder="1" applyAlignment="1">
      <alignment horizontal="center" vertical="center" wrapText="1"/>
    </xf>
    <xf numFmtId="6" fontId="6" fillId="0" borderId="48" xfId="0" applyNumberFormat="1" applyFont="1" applyBorder="1" applyAlignment="1">
      <alignment horizontal="center" vertical="center" wrapText="1"/>
    </xf>
    <xf numFmtId="6" fontId="6" fillId="0" borderId="35" xfId="0" applyNumberFormat="1" applyFont="1" applyBorder="1" applyAlignment="1">
      <alignment horizontal="center" vertical="center" wrapText="1"/>
    </xf>
    <xf numFmtId="6" fontId="6" fillId="0" borderId="51" xfId="0" applyNumberFormat="1" applyFont="1" applyBorder="1" applyAlignment="1">
      <alignment horizontal="center" vertical="center" wrapText="1"/>
    </xf>
    <xf numFmtId="6" fontId="6" fillId="0" borderId="37" xfId="0" applyNumberFormat="1" applyFont="1" applyBorder="1" applyAlignment="1">
      <alignment horizontal="center" vertical="center" wrapText="1"/>
    </xf>
    <xf numFmtId="0" fontId="6" fillId="0" borderId="49" xfId="0" applyFont="1" applyBorder="1" applyAlignment="1">
      <alignment horizontal="center" vertical="center" wrapText="1"/>
    </xf>
    <xf numFmtId="166" fontId="17" fillId="0" borderId="0" xfId="0" applyNumberFormat="1" applyFont="1" applyAlignment="1">
      <alignment horizontal="left" vertical="center"/>
    </xf>
    <xf numFmtId="0" fontId="4" fillId="0" borderId="9" xfId="0" applyFont="1" applyBorder="1" applyAlignment="1" applyProtection="1">
      <alignment horizontal="center" vertical="center"/>
      <protection locked="0"/>
    </xf>
    <xf numFmtId="0" fontId="4" fillId="0" borderId="9" xfId="0" applyFont="1" applyBorder="1" applyAlignment="1" applyProtection="1">
      <alignment horizontal="right" vertical="center"/>
      <protection locked="0"/>
    </xf>
    <xf numFmtId="0" fontId="4" fillId="0" borderId="72" xfId="0" applyFont="1" applyBorder="1" applyAlignment="1" applyProtection="1">
      <alignment horizontal="center" vertical="center"/>
      <protection locked="0"/>
    </xf>
    <xf numFmtId="0" fontId="25" fillId="0" borderId="13" xfId="4" applyFont="1" applyBorder="1" applyAlignment="1">
      <alignment horizontal="center" vertical="center"/>
    </xf>
    <xf numFmtId="0" fontId="25" fillId="0" borderId="33" xfId="4" applyFont="1" applyBorder="1" applyAlignment="1">
      <alignment horizontal="center" vertical="center"/>
    </xf>
    <xf numFmtId="0" fontId="25" fillId="0" borderId="14" xfId="4" applyFont="1" applyBorder="1" applyAlignment="1">
      <alignment horizontal="center" vertical="center"/>
    </xf>
    <xf numFmtId="0" fontId="20" fillId="0" borderId="13" xfId="4" applyFont="1" applyBorder="1" applyAlignment="1">
      <alignment horizontal="center" vertical="center"/>
    </xf>
    <xf numFmtId="0" fontId="20" fillId="0" borderId="14" xfId="4" applyFont="1" applyBorder="1" applyAlignment="1">
      <alignment horizontal="center" vertical="center"/>
    </xf>
    <xf numFmtId="0" fontId="25" fillId="0" borderId="69" xfId="4" applyFont="1" applyBorder="1" applyAlignment="1">
      <alignment horizontal="center" vertical="center" wrapText="1"/>
    </xf>
    <xf numFmtId="0" fontId="25" fillId="0" borderId="70" xfId="4" applyFont="1" applyBorder="1" applyAlignment="1">
      <alignment horizontal="center" vertical="center" wrapText="1"/>
    </xf>
    <xf numFmtId="0" fontId="24" fillId="0" borderId="67" xfId="4" applyBorder="1" applyAlignment="1">
      <alignment horizontal="center" vertical="center" wrapText="1"/>
    </xf>
    <xf numFmtId="0" fontId="24" fillId="0" borderId="71" xfId="4" applyBorder="1" applyAlignment="1">
      <alignment horizontal="center" vertical="center" wrapText="1"/>
    </xf>
    <xf numFmtId="0" fontId="24" fillId="0" borderId="28" xfId="4" applyBorder="1" applyAlignment="1">
      <alignment horizontal="center" vertical="center" wrapText="1"/>
    </xf>
    <xf numFmtId="0" fontId="24" fillId="0" borderId="73" xfId="4" applyBorder="1" applyAlignment="1">
      <alignment horizontal="center" vertical="center" wrapText="1"/>
    </xf>
    <xf numFmtId="2" fontId="20" fillId="9" borderId="15" xfId="4" applyNumberFormat="1" applyFont="1" applyFill="1" applyBorder="1" applyAlignment="1">
      <alignment horizontal="center" vertical="center" wrapText="1"/>
    </xf>
    <xf numFmtId="2" fontId="20" fillId="9" borderId="12" xfId="4" applyNumberFormat="1" applyFont="1" applyFill="1" applyBorder="1" applyAlignment="1">
      <alignment horizontal="center" vertical="center" wrapText="1"/>
    </xf>
    <xf numFmtId="2" fontId="20" fillId="9" borderId="11" xfId="4" applyNumberFormat="1" applyFont="1" applyFill="1" applyBorder="1" applyAlignment="1">
      <alignment horizontal="center" vertical="center" wrapText="1"/>
    </xf>
    <xf numFmtId="0" fontId="24" fillId="0" borderId="66" xfId="4" applyBorder="1" applyAlignment="1">
      <alignment horizontal="center" vertical="center" wrapText="1"/>
    </xf>
    <xf numFmtId="0" fontId="24" fillId="0" borderId="74" xfId="4" applyBorder="1" applyAlignment="1">
      <alignment horizontal="center" vertical="center" wrapText="1"/>
    </xf>
    <xf numFmtId="0" fontId="20" fillId="0" borderId="33" xfId="4" applyFont="1" applyBorder="1" applyAlignment="1">
      <alignment horizontal="center" vertical="center" wrapText="1"/>
    </xf>
    <xf numFmtId="0" fontId="20" fillId="0" borderId="14" xfId="4" applyFont="1" applyBorder="1" applyAlignment="1">
      <alignment horizontal="center" vertical="center" wrapText="1"/>
    </xf>
    <xf numFmtId="0" fontId="6" fillId="0" borderId="0" xfId="0" applyFont="1" applyAlignment="1">
      <alignment horizontal="left" wrapText="1"/>
    </xf>
    <xf numFmtId="0" fontId="6" fillId="0" borderId="0" xfId="0" applyFont="1" applyAlignment="1">
      <alignment horizontal="left"/>
    </xf>
    <xf numFmtId="0" fontId="20" fillId="0" borderId="33" xfId="4" applyFont="1" applyBorder="1" applyAlignment="1">
      <alignment horizontal="center" vertical="center"/>
    </xf>
    <xf numFmtId="0" fontId="20" fillId="0" borderId="66" xfId="4" applyFont="1" applyBorder="1" applyAlignment="1">
      <alignment horizontal="center" vertical="center" wrapText="1"/>
    </xf>
    <xf numFmtId="0" fontId="20" fillId="0" borderId="67" xfId="4" applyFont="1" applyBorder="1" applyAlignment="1">
      <alignment horizontal="center" vertical="center" wrapText="1"/>
    </xf>
    <xf numFmtId="0" fontId="20" fillId="0" borderId="71" xfId="4" applyFont="1" applyBorder="1" applyAlignment="1">
      <alignment horizontal="center" vertical="center" wrapText="1"/>
    </xf>
    <xf numFmtId="0" fontId="20" fillId="0" borderId="13" xfId="4" applyFont="1" applyBorder="1" applyAlignment="1">
      <alignment horizontal="center" vertical="center" wrapText="1"/>
    </xf>
    <xf numFmtId="0" fontId="6" fillId="0" borderId="0" xfId="0" applyFont="1" applyAlignment="1">
      <alignment horizontal="center" vertical="center" wrapText="1"/>
    </xf>
    <xf numFmtId="2" fontId="27" fillId="0" borderId="95" xfId="0" applyNumberFormat="1" applyFont="1" applyBorder="1" applyAlignment="1">
      <alignment horizontal="left"/>
    </xf>
    <xf numFmtId="2" fontId="27" fillId="0" borderId="22" xfId="0" applyNumberFormat="1" applyFont="1" applyBorder="1" applyAlignment="1">
      <alignment horizontal="left"/>
    </xf>
    <xf numFmtId="2" fontId="27" fillId="0" borderId="23" xfId="0" applyNumberFormat="1" applyFont="1" applyBorder="1" applyAlignment="1">
      <alignment horizontal="left"/>
    </xf>
    <xf numFmtId="0" fontId="27" fillId="0" borderId="79" xfId="0" applyFont="1" applyBorder="1" applyAlignment="1">
      <alignment horizontal="center"/>
    </xf>
    <xf numFmtId="0" fontId="27" fillId="0" borderId="80" xfId="0" applyFont="1" applyBorder="1" applyAlignment="1">
      <alignment horizontal="center"/>
    </xf>
    <xf numFmtId="0" fontId="27" fillId="0" borderId="81" xfId="0" applyFont="1" applyBorder="1" applyAlignment="1">
      <alignment horizontal="center"/>
    </xf>
    <xf numFmtId="166" fontId="6" fillId="0" borderId="0" xfId="0" applyNumberFormat="1" applyFont="1" applyAlignment="1">
      <alignment horizontal="center" vertical="center"/>
    </xf>
    <xf numFmtId="0" fontId="20" fillId="0" borderId="8" xfId="2" applyFont="1" applyBorder="1" applyAlignment="1">
      <alignment horizontal="center" vertical="center"/>
    </xf>
    <xf numFmtId="0" fontId="20" fillId="0" borderId="4" xfId="2" applyFont="1" applyBorder="1" applyAlignment="1">
      <alignment horizontal="center" vertical="center"/>
    </xf>
    <xf numFmtId="0" fontId="22" fillId="0" borderId="0" xfId="2" applyFont="1" applyAlignment="1">
      <alignment horizontal="center" vertical="center" wrapText="1"/>
    </xf>
    <xf numFmtId="0" fontId="22" fillId="0" borderId="32" xfId="2" applyFont="1" applyBorder="1" applyAlignment="1">
      <alignment horizontal="center" vertical="center" wrapText="1"/>
    </xf>
    <xf numFmtId="0" fontId="22" fillId="0" borderId="98" xfId="2" applyFont="1" applyBorder="1" applyAlignment="1">
      <alignment horizontal="center" vertical="center" wrapText="1"/>
    </xf>
    <xf numFmtId="0" fontId="27" fillId="0" borderId="82" xfId="0" applyFont="1" applyBorder="1" applyAlignment="1">
      <alignment horizontal="left"/>
    </xf>
    <xf numFmtId="0" fontId="27" fillId="0" borderId="83" xfId="0" applyFont="1" applyBorder="1" applyAlignment="1">
      <alignment horizontal="left"/>
    </xf>
    <xf numFmtId="0" fontId="27" fillId="0" borderId="84" xfId="0" applyFont="1" applyBorder="1" applyAlignment="1">
      <alignment horizontal="left"/>
    </xf>
    <xf numFmtId="0" fontId="27" fillId="0" borderId="87" xfId="0" applyFont="1" applyBorder="1" applyAlignment="1">
      <alignment horizontal="left"/>
    </xf>
    <xf numFmtId="0" fontId="27" fillId="0" borderId="0" xfId="0" applyFont="1" applyAlignment="1">
      <alignment horizontal="left"/>
    </xf>
    <xf numFmtId="0" fontId="27" fillId="0" borderId="88" xfId="0" applyFont="1" applyBorder="1" applyAlignment="1">
      <alignment horizontal="left"/>
    </xf>
    <xf numFmtId="0" fontId="27" fillId="0" borderId="19" xfId="0" applyFont="1" applyBorder="1" applyAlignment="1">
      <alignment horizontal="left"/>
    </xf>
    <xf numFmtId="0" fontId="27" fillId="0" borderId="20" xfId="0" applyFont="1" applyBorder="1" applyAlignment="1">
      <alignment horizontal="left"/>
    </xf>
    <xf numFmtId="0" fontId="27" fillId="0" borderId="21" xfId="0" applyFont="1" applyBorder="1" applyAlignment="1">
      <alignment horizontal="left"/>
    </xf>
    <xf numFmtId="0" fontId="27" fillId="0" borderId="22" xfId="0" applyFont="1" applyBorder="1" applyAlignment="1">
      <alignment horizontal="left"/>
    </xf>
    <xf numFmtId="0" fontId="13" fillId="0" borderId="79" xfId="0" applyFont="1" applyBorder="1" applyAlignment="1">
      <alignment horizontal="left" vertical="top"/>
    </xf>
    <xf numFmtId="0" fontId="13" fillId="0" borderId="80" xfId="0" applyFont="1" applyBorder="1" applyAlignment="1">
      <alignment horizontal="left" vertical="top"/>
    </xf>
    <xf numFmtId="0" fontId="13" fillId="0" borderId="81" xfId="0" applyFont="1" applyBorder="1" applyAlignment="1">
      <alignment horizontal="left" vertical="top"/>
    </xf>
    <xf numFmtId="2" fontId="27" fillId="0" borderId="19" xfId="0" applyNumberFormat="1" applyFont="1" applyBorder="1" applyAlignment="1">
      <alignment horizontal="left"/>
    </xf>
    <xf numFmtId="2" fontId="27" fillId="0" borderId="20" xfId="0" applyNumberFormat="1" applyFont="1" applyBorder="1" applyAlignment="1">
      <alignment horizontal="left"/>
    </xf>
    <xf numFmtId="2" fontId="27" fillId="0" borderId="94" xfId="0" applyNumberFormat="1" applyFont="1" applyBorder="1" applyAlignment="1">
      <alignment horizontal="left"/>
    </xf>
    <xf numFmtId="2" fontId="27" fillId="0" borderId="26" xfId="0" applyNumberFormat="1" applyFont="1" applyBorder="1" applyAlignment="1">
      <alignment horizontal="left"/>
    </xf>
    <xf numFmtId="2" fontId="27" fillId="0" borderId="56" xfId="0" applyNumberFormat="1" applyFont="1" applyBorder="1" applyAlignment="1">
      <alignment horizontal="left"/>
    </xf>
    <xf numFmtId="2" fontId="27" fillId="0" borderId="21" xfId="0" applyNumberFormat="1" applyFont="1" applyBorder="1" applyAlignment="1">
      <alignment horizontal="left"/>
    </xf>
    <xf numFmtId="0" fontId="16" fillId="0" borderId="0" xfId="0" applyFont="1" applyAlignment="1">
      <alignment horizontal="center" vertical="center" wrapText="1"/>
    </xf>
    <xf numFmtId="0" fontId="16" fillId="0" borderId="0" xfId="0" applyFont="1" applyAlignment="1">
      <alignment horizontal="center" vertical="center"/>
    </xf>
    <xf numFmtId="165" fontId="10" fillId="0" borderId="29" xfId="0" applyNumberFormat="1" applyFont="1" applyBorder="1" applyAlignment="1" applyProtection="1">
      <alignment horizontal="center" vertical="center"/>
      <protection hidden="1"/>
    </xf>
    <xf numFmtId="165" fontId="10" fillId="0" borderId="22" xfId="0" applyNumberFormat="1" applyFont="1" applyBorder="1" applyAlignment="1" applyProtection="1">
      <alignment horizontal="center" vertical="center"/>
      <protection hidden="1"/>
    </xf>
    <xf numFmtId="165" fontId="10" fillId="0" borderId="24" xfId="0" applyNumberFormat="1" applyFont="1" applyBorder="1" applyAlignment="1" applyProtection="1">
      <alignment horizontal="center" vertical="center"/>
      <protection hidden="1"/>
    </xf>
    <xf numFmtId="165" fontId="35" fillId="0" borderId="13" xfId="0" applyNumberFormat="1" applyFont="1" applyBorder="1" applyAlignment="1" applyProtection="1">
      <alignment horizontal="center"/>
      <protection hidden="1"/>
    </xf>
    <xf numFmtId="165" fontId="35" fillId="0" borderId="33" xfId="0" applyNumberFormat="1" applyFont="1" applyBorder="1" applyAlignment="1" applyProtection="1">
      <alignment horizontal="center"/>
      <protection hidden="1"/>
    </xf>
    <xf numFmtId="165" fontId="35" fillId="0" borderId="14" xfId="0" applyNumberFormat="1" applyFont="1" applyBorder="1" applyAlignment="1" applyProtection="1">
      <alignment horizontal="center"/>
      <protection hidden="1"/>
    </xf>
    <xf numFmtId="0" fontId="4" fillId="0" borderId="0" xfId="0" applyFont="1" applyAlignment="1" applyProtection="1">
      <alignment horizontal="left" vertical="center"/>
      <protection hidden="1"/>
    </xf>
    <xf numFmtId="0" fontId="10" fillId="0" borderId="0" xfId="0" applyFont="1" applyAlignment="1" applyProtection="1">
      <alignment horizontal="left"/>
      <protection hidden="1"/>
    </xf>
    <xf numFmtId="0" fontId="4" fillId="0" borderId="0" xfId="0" applyFont="1" applyAlignment="1" applyProtection="1">
      <alignment horizontal="left"/>
      <protection hidden="1"/>
    </xf>
    <xf numFmtId="2" fontId="4" fillId="0" borderId="25" xfId="0" applyNumberFormat="1" applyFont="1" applyBorder="1" applyAlignment="1" applyProtection="1">
      <alignment horizontal="center" vertical="center"/>
      <protection hidden="1"/>
    </xf>
    <xf numFmtId="2" fontId="4" fillId="0" borderId="20" xfId="0" applyNumberFormat="1" applyFont="1" applyBorder="1" applyAlignment="1" applyProtection="1">
      <alignment horizontal="center" vertical="center"/>
      <protection hidden="1"/>
    </xf>
    <xf numFmtId="2" fontId="4" fillId="0" borderId="65" xfId="0" applyNumberFormat="1" applyFont="1" applyBorder="1" applyAlignment="1" applyProtection="1">
      <alignment horizontal="center" vertical="center"/>
      <protection hidden="1"/>
    </xf>
    <xf numFmtId="0" fontId="4" fillId="0" borderId="20" xfId="0" applyFont="1" applyBorder="1" applyAlignment="1" applyProtection="1">
      <alignment horizontal="left" vertical="center"/>
      <protection locked="0"/>
    </xf>
    <xf numFmtId="0" fontId="4" fillId="0" borderId="65" xfId="0" applyFont="1" applyBorder="1" applyAlignment="1" applyProtection="1">
      <alignment horizontal="left" vertical="center"/>
      <protection locked="0"/>
    </xf>
    <xf numFmtId="0" fontId="9" fillId="0" borderId="25" xfId="0" applyFont="1" applyBorder="1" applyAlignment="1" applyProtection="1">
      <alignment horizontal="center" vertical="center"/>
      <protection hidden="1"/>
    </xf>
    <xf numFmtId="0" fontId="9" fillId="0" borderId="20" xfId="0" applyFont="1" applyBorder="1" applyAlignment="1" applyProtection="1">
      <alignment horizontal="center" vertical="center"/>
      <protection hidden="1"/>
    </xf>
    <xf numFmtId="0" fontId="9" fillId="0" borderId="65" xfId="0" applyFont="1" applyBorder="1" applyAlignment="1" applyProtection="1">
      <alignment horizontal="center" vertical="center"/>
      <protection hidden="1"/>
    </xf>
    <xf numFmtId="0" fontId="4" fillId="0" borderId="25" xfId="0" applyFont="1" applyBorder="1" applyAlignment="1" applyProtection="1">
      <alignment horizontal="left" vertical="center"/>
      <protection hidden="1"/>
    </xf>
    <xf numFmtId="0" fontId="4" fillId="0" borderId="20" xfId="0" applyFont="1" applyBorder="1" applyAlignment="1" applyProtection="1">
      <alignment horizontal="left" vertical="center"/>
      <protection hidden="1"/>
    </xf>
    <xf numFmtId="0" fontId="4" fillId="0" borderId="65" xfId="0" applyFont="1" applyBorder="1" applyAlignment="1" applyProtection="1">
      <alignment horizontal="left" vertical="center"/>
      <protection hidden="1"/>
    </xf>
    <xf numFmtId="0" fontId="4" fillId="0" borderId="33"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14" fontId="4" fillId="0" borderId="33" xfId="0" applyNumberFormat="1" applyFont="1" applyBorder="1" applyAlignment="1" applyProtection="1">
      <alignment horizontal="left" vertical="center"/>
      <protection hidden="1"/>
    </xf>
    <xf numFmtId="14" fontId="4" fillId="0" borderId="14" xfId="0" applyNumberFormat="1" applyFont="1" applyBorder="1" applyAlignment="1" applyProtection="1">
      <alignment horizontal="left" vertical="center"/>
      <protection hidden="1"/>
    </xf>
    <xf numFmtId="0" fontId="52" fillId="0" borderId="13" xfId="4" applyFont="1" applyBorder="1" applyAlignment="1">
      <alignment horizontal="center" vertical="center" wrapText="1"/>
    </xf>
    <xf numFmtId="0" fontId="52" fillId="0" borderId="33" xfId="4" applyFont="1" applyBorder="1" applyAlignment="1">
      <alignment horizontal="center" vertical="center" wrapText="1"/>
    </xf>
    <xf numFmtId="0" fontId="52" fillId="0" borderId="14" xfId="4" applyFont="1" applyBorder="1" applyAlignment="1">
      <alignment horizontal="center" vertical="center" wrapText="1"/>
    </xf>
    <xf numFmtId="2" fontId="53" fillId="9" borderId="4" xfId="4" applyNumberFormat="1" applyFont="1" applyFill="1" applyBorder="1" applyAlignment="1">
      <alignment horizontal="center" vertical="center" wrapText="1"/>
    </xf>
    <xf numFmtId="2" fontId="53" fillId="9" borderId="5" xfId="4" applyNumberFormat="1" applyFont="1" applyFill="1" applyBorder="1" applyAlignment="1">
      <alignment horizontal="center" vertical="center" wrapText="1"/>
    </xf>
    <xf numFmtId="0" fontId="53" fillId="0" borderId="78" xfId="4" applyFont="1" applyBorder="1" applyAlignment="1">
      <alignment horizontal="center" vertical="center" wrapText="1"/>
    </xf>
    <xf numFmtId="0" fontId="53" fillId="0" borderId="54" xfId="4" applyFont="1" applyBorder="1" applyAlignment="1">
      <alignment horizontal="center" vertical="center" wrapText="1"/>
    </xf>
    <xf numFmtId="0" fontId="54" fillId="30" borderId="67" xfId="4" applyFont="1" applyFill="1" applyBorder="1" applyAlignment="1">
      <alignment horizontal="center" vertical="center" wrapText="1"/>
    </xf>
    <xf numFmtId="0" fontId="53" fillId="0" borderId="33" xfId="4" applyFont="1" applyBorder="1" applyAlignment="1">
      <alignment horizontal="center" vertical="center" wrapText="1"/>
    </xf>
    <xf numFmtId="0" fontId="53" fillId="0" borderId="14" xfId="4" applyFont="1" applyBorder="1" applyAlignment="1">
      <alignment horizontal="center" vertical="center" wrapText="1"/>
    </xf>
    <xf numFmtId="0" fontId="53" fillId="0" borderId="13" xfId="4" applyFont="1" applyBorder="1" applyAlignment="1">
      <alignment horizontal="center" vertical="center" wrapText="1"/>
    </xf>
    <xf numFmtId="0" fontId="53" fillId="30" borderId="66" xfId="4" applyFont="1" applyFill="1" applyBorder="1" applyAlignment="1">
      <alignment horizontal="center" vertical="center" wrapText="1"/>
    </xf>
    <xf numFmtId="0" fontId="53" fillId="30" borderId="67" xfId="4" applyFont="1" applyFill="1" applyBorder="1" applyAlignment="1">
      <alignment horizontal="center" vertical="center" wrapText="1"/>
    </xf>
    <xf numFmtId="0" fontId="54" fillId="0" borderId="66" xfId="4" applyFont="1" applyBorder="1" applyAlignment="1">
      <alignment horizontal="center" vertical="center" wrapText="1"/>
    </xf>
    <xf numFmtId="0" fontId="54" fillId="0" borderId="67" xfId="4" applyFont="1" applyBorder="1" applyAlignment="1">
      <alignment horizontal="center" vertical="center" wrapText="1"/>
    </xf>
    <xf numFmtId="0" fontId="54" fillId="30" borderId="78" xfId="4" applyFont="1" applyFill="1" applyBorder="1" applyAlignment="1">
      <alignment horizontal="center" vertical="center" wrapText="1"/>
    </xf>
    <xf numFmtId="0" fontId="54" fillId="30" borderId="54" xfId="4" applyFont="1" applyFill="1" applyBorder="1" applyAlignment="1">
      <alignment horizontal="center" vertical="center" wrapText="1"/>
    </xf>
    <xf numFmtId="0" fontId="4" fillId="0" borderId="3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52" fillId="30" borderId="13" xfId="4" applyFont="1" applyFill="1" applyBorder="1" applyAlignment="1">
      <alignment horizontal="center" vertical="center" wrapText="1"/>
    </xf>
    <xf numFmtId="0" fontId="52" fillId="30" borderId="33" xfId="4" applyFont="1" applyFill="1" applyBorder="1" applyAlignment="1">
      <alignment horizontal="center" vertical="center" wrapText="1"/>
    </xf>
    <xf numFmtId="0" fontId="52" fillId="30" borderId="14" xfId="4" applyFont="1" applyFill="1" applyBorder="1" applyAlignment="1">
      <alignment horizontal="center" vertical="center" wrapText="1"/>
    </xf>
    <xf numFmtId="0" fontId="52" fillId="0" borderId="69" xfId="4" applyFont="1" applyBorder="1" applyAlignment="1">
      <alignment horizontal="center" vertical="center" wrapText="1"/>
    </xf>
    <xf numFmtId="0" fontId="54" fillId="0" borderId="28" xfId="4" applyFont="1" applyBorder="1" applyAlignment="1">
      <alignment horizontal="center" vertical="center" wrapText="1"/>
    </xf>
    <xf numFmtId="2" fontId="53" fillId="0" borderId="15" xfId="4" applyNumberFormat="1" applyFont="1" applyBorder="1" applyAlignment="1">
      <alignment horizontal="center" vertical="center" wrapText="1"/>
    </xf>
    <xf numFmtId="2" fontId="53" fillId="0" borderId="12" xfId="4" applyNumberFormat="1" applyFont="1" applyBorder="1" applyAlignment="1">
      <alignment horizontal="center" vertical="center" wrapText="1"/>
    </xf>
    <xf numFmtId="2" fontId="53" fillId="0" borderId="159" xfId="4" applyNumberFormat="1" applyFont="1" applyBorder="1" applyAlignment="1">
      <alignment horizontal="center" vertical="center" wrapText="1"/>
    </xf>
    <xf numFmtId="2" fontId="53" fillId="9" borderId="15" xfId="4" applyNumberFormat="1" applyFont="1" applyFill="1" applyBorder="1" applyAlignment="1">
      <alignment horizontal="center" vertical="center" wrapText="1"/>
    </xf>
    <xf numFmtId="2" fontId="53" fillId="9" borderId="12" xfId="4" applyNumberFormat="1" applyFont="1" applyFill="1" applyBorder="1" applyAlignment="1">
      <alignment horizontal="center" vertical="center" wrapText="1"/>
    </xf>
    <xf numFmtId="0" fontId="7" fillId="0" borderId="18" xfId="0" applyFont="1" applyBorder="1" applyAlignment="1">
      <alignment horizontal="left" vertical="center" wrapText="1"/>
    </xf>
    <xf numFmtId="0" fontId="7" fillId="0" borderId="53" xfId="0" applyFont="1" applyBorder="1" applyAlignment="1">
      <alignment horizontal="left" vertical="center" wrapText="1"/>
    </xf>
    <xf numFmtId="0" fontId="7" fillId="0" borderId="10" xfId="0" applyFont="1" applyBorder="1" applyAlignment="1">
      <alignment horizontal="left" vertical="center" wrapText="1"/>
    </xf>
    <xf numFmtId="0" fontId="7" fillId="0" borderId="56" xfId="0" applyFont="1" applyBorder="1" applyAlignment="1">
      <alignment horizontal="left" vertical="center" wrapText="1"/>
    </xf>
    <xf numFmtId="0" fontId="7" fillId="0" borderId="20" xfId="0" applyFont="1" applyBorder="1" applyAlignment="1">
      <alignment horizontal="left" vertical="center" wrapText="1"/>
    </xf>
    <xf numFmtId="0" fontId="7" fillId="0" borderId="43" xfId="0" applyFont="1" applyBorder="1" applyAlignment="1">
      <alignment horizontal="left" vertical="center" wrapText="1"/>
    </xf>
    <xf numFmtId="2" fontId="7" fillId="0" borderId="59" xfId="0" applyNumberFormat="1" applyFont="1" applyBorder="1" applyAlignment="1">
      <alignment horizontal="left" vertical="center" wrapText="1"/>
    </xf>
    <xf numFmtId="2" fontId="7" fillId="0" borderId="26" xfId="0" applyNumberFormat="1" applyFont="1" applyBorder="1" applyAlignment="1">
      <alignment horizontal="left" vertical="center" wrapText="1"/>
    </xf>
    <xf numFmtId="2" fontId="7" fillId="0" borderId="56" xfId="0" applyNumberFormat="1" applyFont="1" applyBorder="1" applyAlignment="1">
      <alignment horizontal="left" vertical="center" wrapText="1"/>
    </xf>
    <xf numFmtId="2" fontId="7" fillId="0" borderId="20" xfId="0" applyNumberFormat="1" applyFont="1" applyBorder="1" applyAlignment="1">
      <alignment horizontal="left" vertical="center" wrapText="1"/>
    </xf>
    <xf numFmtId="2" fontId="7" fillId="0" borderId="57" xfId="0" applyNumberFormat="1" applyFont="1" applyBorder="1" applyAlignment="1">
      <alignment horizontal="left" vertical="center" wrapText="1"/>
    </xf>
    <xf numFmtId="2" fontId="7" fillId="0" borderId="104" xfId="0" applyNumberFormat="1" applyFont="1" applyBorder="1" applyAlignment="1">
      <alignment horizontal="left" vertical="center" wrapText="1"/>
    </xf>
    <xf numFmtId="0" fontId="7" fillId="0" borderId="69"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0" xfId="0" applyFont="1" applyAlignment="1">
      <alignment horizontal="center" vertical="center" wrapText="1"/>
    </xf>
    <xf numFmtId="0" fontId="7" fillId="0" borderId="26"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68" xfId="0" applyFont="1" applyBorder="1" applyAlignment="1">
      <alignment horizontal="center" vertical="center" wrapText="1"/>
    </xf>
    <xf numFmtId="0" fontId="7" fillId="0" borderId="6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42" xfId="0" applyFont="1" applyBorder="1" applyAlignment="1">
      <alignment horizontal="center" vertical="center" wrapText="1"/>
    </xf>
    <xf numFmtId="0" fontId="31" fillId="0" borderId="8" xfId="0" applyFont="1" applyBorder="1" applyAlignment="1">
      <alignment horizontal="center" vertical="center"/>
    </xf>
    <xf numFmtId="0" fontId="31" fillId="0" borderId="9" xfId="0" applyFont="1" applyBorder="1" applyAlignment="1">
      <alignment horizontal="center" vertical="center"/>
    </xf>
    <xf numFmtId="0" fontId="31" fillId="0" borderId="4" xfId="0" applyFont="1" applyBorder="1" applyAlignment="1">
      <alignment horizontal="center" vertical="center"/>
    </xf>
    <xf numFmtId="0" fontId="31" fillId="0" borderId="18" xfId="0" applyFont="1" applyBorder="1" applyAlignment="1">
      <alignment horizontal="center" vertical="center"/>
    </xf>
    <xf numFmtId="0" fontId="31" fillId="0" borderId="53" xfId="0" applyFont="1" applyBorder="1" applyAlignment="1">
      <alignment horizontal="center" vertical="center"/>
    </xf>
    <xf numFmtId="0" fontId="31" fillId="0" borderId="10" xfId="0" applyFont="1" applyBorder="1" applyAlignment="1">
      <alignment horizontal="center" vertical="center"/>
    </xf>
    <xf numFmtId="0" fontId="7" fillId="0" borderId="61" xfId="0" applyFont="1" applyBorder="1" applyAlignment="1">
      <alignment horizontal="left" vertical="center" wrapText="1"/>
    </xf>
    <xf numFmtId="0" fontId="7" fillId="0" borderId="102" xfId="0" applyFont="1" applyBorder="1" applyAlignment="1">
      <alignment horizontal="left"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60" xfId="0" applyFont="1" applyBorder="1" applyAlignment="1">
      <alignment horizontal="left" vertical="center" wrapText="1"/>
    </xf>
    <xf numFmtId="0" fontId="7" fillId="0" borderId="0" xfId="0" applyFont="1" applyAlignment="1">
      <alignment horizontal="left" vertical="center" wrapText="1"/>
    </xf>
    <xf numFmtId="0" fontId="7" fillId="0" borderId="5" xfId="0" applyFont="1" applyBorder="1" applyAlignment="1">
      <alignment horizontal="left"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24" xfId="0" applyFont="1" applyBorder="1" applyAlignment="1">
      <alignment horizontal="center"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33" xfId="0" applyFont="1" applyBorder="1" applyAlignment="1">
      <alignment horizontal="left" vertical="center" wrapText="1"/>
    </xf>
    <xf numFmtId="0" fontId="10" fillId="0" borderId="8" xfId="0" applyFont="1" applyBorder="1" applyAlignment="1">
      <alignment horizontal="left" vertical="center"/>
    </xf>
    <xf numFmtId="0" fontId="10" fillId="0" borderId="4" xfId="0" applyFont="1" applyBorder="1" applyAlignment="1">
      <alignment horizontal="left" vertical="center"/>
    </xf>
    <xf numFmtId="0" fontId="10" fillId="0" borderId="33" xfId="0" applyFont="1" applyBorder="1" applyAlignment="1">
      <alignment horizontal="left" vertical="center" wrapText="1"/>
    </xf>
    <xf numFmtId="0" fontId="10" fillId="0" borderId="14" xfId="0" applyFont="1" applyBorder="1" applyAlignment="1">
      <alignment horizontal="left" vertical="center" wrapText="1"/>
    </xf>
    <xf numFmtId="0" fontId="10" fillId="0" borderId="33" xfId="0" applyFont="1" applyBorder="1" applyAlignment="1">
      <alignment horizontal="center" vertical="center"/>
    </xf>
    <xf numFmtId="0" fontId="10" fillId="0" borderId="14" xfId="0" applyFont="1" applyBorder="1" applyAlignment="1">
      <alignment horizontal="center" vertical="center"/>
    </xf>
    <xf numFmtId="0" fontId="10" fillId="0" borderId="13" xfId="0" applyFont="1" applyBorder="1" applyAlignment="1">
      <alignment horizontal="left" vertical="center" wrapText="1"/>
    </xf>
    <xf numFmtId="0" fontId="10" fillId="0" borderId="13" xfId="0" applyFont="1" applyBorder="1" applyAlignment="1">
      <alignment horizontal="center" vertical="center"/>
    </xf>
    <xf numFmtId="0" fontId="4" fillId="0" borderId="13"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14"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60" xfId="0" applyFont="1" applyBorder="1" applyAlignment="1">
      <alignment horizontal="left" vertical="center"/>
    </xf>
    <xf numFmtId="2" fontId="10" fillId="0" borderId="76" xfId="0" applyNumberFormat="1" applyFont="1" applyBorder="1" applyAlignment="1">
      <alignment horizontal="center" vertical="center"/>
    </xf>
    <xf numFmtId="2" fontId="10" fillId="0" borderId="77" xfId="0" applyNumberFormat="1" applyFont="1" applyBorder="1" applyAlignment="1">
      <alignment horizontal="center" vertical="center"/>
    </xf>
    <xf numFmtId="0" fontId="10" fillId="0" borderId="62" xfId="0" applyFont="1" applyBorder="1" applyAlignment="1">
      <alignment horizontal="left" vertical="center"/>
    </xf>
    <xf numFmtId="0" fontId="10" fillId="0" borderId="63" xfId="0" applyFont="1" applyBorder="1" applyAlignment="1">
      <alignment horizontal="left" vertical="center"/>
    </xf>
    <xf numFmtId="2" fontId="10" fillId="0" borderId="62" xfId="0" applyNumberFormat="1" applyFont="1" applyBorder="1" applyAlignment="1">
      <alignment horizontal="center"/>
    </xf>
    <xf numFmtId="2" fontId="10" fillId="0" borderId="63" xfId="0" applyNumberFormat="1" applyFont="1" applyBorder="1" applyAlignment="1">
      <alignment horizontal="center"/>
    </xf>
    <xf numFmtId="0" fontId="10" fillId="0" borderId="8" xfId="0" applyFont="1" applyBorder="1" applyAlignment="1">
      <alignment horizontal="center" vertical="center"/>
    </xf>
    <xf numFmtId="0" fontId="10" fillId="0" borderId="18" xfId="0" applyFont="1" applyBorder="1" applyAlignment="1">
      <alignment horizontal="center" vertical="center"/>
    </xf>
    <xf numFmtId="0" fontId="6" fillId="0" borderId="9" xfId="0" applyFont="1" applyBorder="1" applyAlignment="1">
      <alignment horizontal="left" vertical="center" wrapText="1"/>
    </xf>
    <xf numFmtId="0" fontId="6" fillId="0" borderId="4" xfId="0" applyFont="1" applyBorder="1" applyAlignment="1">
      <alignment horizontal="left" vertical="center" wrapText="1"/>
    </xf>
    <xf numFmtId="0" fontId="6" fillId="0" borderId="53" xfId="0" applyFont="1" applyBorder="1" applyAlignment="1">
      <alignment horizontal="left" vertical="center" wrapText="1"/>
    </xf>
    <xf numFmtId="0" fontId="6" fillId="0" borderId="10" xfId="0" applyFont="1" applyBorder="1" applyAlignment="1">
      <alignment horizontal="left" vertical="center" wrapText="1"/>
    </xf>
    <xf numFmtId="14" fontId="10" fillId="0" borderId="9" xfId="0" applyNumberFormat="1" applyFont="1" applyBorder="1" applyAlignment="1" applyProtection="1">
      <alignment horizontal="center" vertical="center"/>
      <protection hidden="1"/>
    </xf>
    <xf numFmtId="14" fontId="10" fillId="0" borderId="4" xfId="0" applyNumberFormat="1" applyFont="1" applyBorder="1" applyAlignment="1" applyProtection="1">
      <alignment horizontal="center" vertical="center"/>
      <protection hidden="1"/>
    </xf>
    <xf numFmtId="0" fontId="10" fillId="0" borderId="33" xfId="0" applyFont="1" applyBorder="1" applyAlignment="1">
      <alignment horizontal="center"/>
    </xf>
    <xf numFmtId="0" fontId="10" fillId="0" borderId="14" xfId="0" applyFont="1" applyBorder="1" applyAlignment="1">
      <alignment horizontal="center"/>
    </xf>
    <xf numFmtId="2" fontId="10" fillId="0" borderId="103" xfId="0" applyNumberFormat="1" applyFont="1" applyBorder="1" applyAlignment="1">
      <alignment horizontal="center"/>
    </xf>
    <xf numFmtId="2" fontId="10" fillId="0" borderId="102" xfId="0" applyNumberFormat="1" applyFont="1" applyBorder="1" applyAlignment="1">
      <alignment horizontal="center"/>
    </xf>
    <xf numFmtId="0" fontId="10" fillId="0" borderId="56" xfId="0" applyFont="1" applyBorder="1" applyAlignment="1">
      <alignment horizontal="left" vertical="center"/>
    </xf>
    <xf numFmtId="0" fontId="10" fillId="0" borderId="43" xfId="0" applyFont="1" applyBorder="1" applyAlignment="1">
      <alignment horizontal="left" vertical="center"/>
    </xf>
    <xf numFmtId="2" fontId="10" fillId="0" borderId="56" xfId="0" applyNumberFormat="1" applyFont="1" applyBorder="1" applyAlignment="1">
      <alignment horizontal="center"/>
    </xf>
    <xf numFmtId="2" fontId="10" fillId="0" borderId="43" xfId="0" applyNumberFormat="1" applyFont="1" applyBorder="1" applyAlignment="1">
      <alignment horizontal="center"/>
    </xf>
    <xf numFmtId="2" fontId="10" fillId="0" borderId="25" xfId="0" applyNumberFormat="1" applyFont="1" applyBorder="1" applyAlignment="1">
      <alignment horizontal="center"/>
    </xf>
    <xf numFmtId="2" fontId="10" fillId="0" borderId="65" xfId="0" applyNumberFormat="1" applyFont="1" applyBorder="1" applyAlignment="1">
      <alignment horizontal="center"/>
    </xf>
    <xf numFmtId="0" fontId="10" fillId="0" borderId="57" xfId="0" applyFont="1" applyBorder="1" applyAlignment="1">
      <alignment horizontal="left" vertical="center"/>
    </xf>
    <xf numFmtId="0" fontId="10" fillId="0" borderId="44" xfId="0" applyFont="1" applyBorder="1" applyAlignment="1">
      <alignment horizontal="left" vertical="center"/>
    </xf>
    <xf numFmtId="2" fontId="10" fillId="0" borderId="57" xfId="0" applyNumberFormat="1" applyFont="1" applyBorder="1" applyAlignment="1">
      <alignment horizontal="center"/>
    </xf>
    <xf numFmtId="2" fontId="10" fillId="0" borderId="44" xfId="0" applyNumberFormat="1" applyFont="1" applyBorder="1" applyAlignment="1">
      <alignment horizontal="center"/>
    </xf>
    <xf numFmtId="0" fontId="46" fillId="0" borderId="0" xfId="0" applyFont="1" applyAlignment="1" applyProtection="1">
      <alignment horizontal="center" vertical="center" wrapText="1"/>
      <protection locked="0"/>
    </xf>
    <xf numFmtId="0" fontId="45" fillId="0" borderId="0" xfId="0" applyFont="1" applyAlignment="1" applyProtection="1">
      <alignment horizontal="center"/>
      <protection locked="0"/>
    </xf>
    <xf numFmtId="0" fontId="16" fillId="0" borderId="25" xfId="0" applyFont="1" applyBorder="1" applyAlignment="1" applyProtection="1">
      <alignment horizontal="center" vertical="center"/>
      <protection locked="0"/>
    </xf>
    <xf numFmtId="0" fontId="16" fillId="0" borderId="20" xfId="0" applyFont="1" applyBorder="1" applyAlignment="1" applyProtection="1">
      <alignment horizontal="center" vertical="center"/>
      <protection locked="0"/>
    </xf>
    <xf numFmtId="0" fontId="16" fillId="0" borderId="65" xfId="0" applyFont="1" applyBorder="1" applyAlignment="1" applyProtection="1">
      <alignment horizontal="center" vertical="center"/>
      <protection locked="0"/>
    </xf>
    <xf numFmtId="0" fontId="10" fillId="0" borderId="62" xfId="0" applyFont="1" applyBorder="1" applyAlignment="1">
      <alignment horizontal="left" vertical="center" wrapText="1"/>
    </xf>
    <xf numFmtId="0" fontId="10" fillId="0" borderId="63" xfId="0" applyFont="1" applyBorder="1" applyAlignment="1">
      <alignment horizontal="left" vertical="center" wrapText="1"/>
    </xf>
    <xf numFmtId="2" fontId="10" fillId="0" borderId="62" xfId="0" applyNumberFormat="1" applyFont="1" applyBorder="1" applyAlignment="1">
      <alignment horizontal="center" vertical="center"/>
    </xf>
    <xf numFmtId="2" fontId="10" fillId="0" borderId="63" xfId="0" applyNumberFormat="1" applyFont="1" applyBorder="1" applyAlignment="1">
      <alignment horizontal="center" vertical="center"/>
    </xf>
    <xf numFmtId="0" fontId="4" fillId="0" borderId="33" xfId="0" applyFont="1" applyBorder="1" applyAlignment="1">
      <alignment horizontal="left" vertical="center"/>
    </xf>
    <xf numFmtId="0" fontId="4" fillId="0" borderId="14" xfId="0" applyFont="1" applyBorder="1" applyAlignment="1">
      <alignment horizontal="left" vertical="center"/>
    </xf>
    <xf numFmtId="0" fontId="7" fillId="0" borderId="33" xfId="0" applyFont="1" applyBorder="1" applyAlignment="1">
      <alignment horizontal="right" vertical="center"/>
    </xf>
    <xf numFmtId="14" fontId="4" fillId="0" borderId="33" xfId="0" applyNumberFormat="1" applyFont="1" applyBorder="1" applyAlignment="1" applyProtection="1">
      <alignment horizontal="center" vertical="center" wrapText="1"/>
      <protection hidden="1"/>
    </xf>
    <xf numFmtId="14" fontId="4" fillId="0" borderId="14" xfId="0" applyNumberFormat="1" applyFont="1" applyBorder="1" applyAlignment="1" applyProtection="1">
      <alignment horizontal="center" vertical="center" wrapText="1"/>
      <protection hidden="1"/>
    </xf>
    <xf numFmtId="0" fontId="7" fillId="0" borderId="33" xfId="0" applyFont="1" applyBorder="1" applyAlignment="1">
      <alignment horizontal="center" vertical="center" wrapText="1"/>
    </xf>
    <xf numFmtId="44" fontId="5" fillId="0" borderId="33" xfId="6" applyFont="1" applyBorder="1" applyAlignment="1" applyProtection="1">
      <alignment horizontal="center" vertical="center" wrapText="1"/>
      <protection locked="0"/>
    </xf>
    <xf numFmtId="44" fontId="5" fillId="0" borderId="14" xfId="6" applyFont="1" applyBorder="1" applyAlignment="1" applyProtection="1">
      <alignment horizontal="center" vertical="center" wrapText="1"/>
      <protection locked="0"/>
    </xf>
    <xf numFmtId="164" fontId="5" fillId="0" borderId="33" xfId="0" applyNumberFormat="1" applyFont="1" applyBorder="1" applyAlignment="1">
      <alignment horizontal="center" vertical="center"/>
    </xf>
    <xf numFmtId="164" fontId="5" fillId="0" borderId="14" xfId="0" applyNumberFormat="1" applyFont="1" applyBorder="1" applyAlignment="1">
      <alignment horizontal="center" vertical="center"/>
    </xf>
    <xf numFmtId="0" fontId="7" fillId="0" borderId="1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9" xfId="0" applyFont="1" applyBorder="1" applyAlignment="1">
      <alignment horizontal="center" vertical="center" wrapText="1"/>
    </xf>
    <xf numFmtId="0" fontId="16" fillId="0" borderId="13" xfId="0" applyFont="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7" fillId="30" borderId="4" xfId="0" applyFont="1" applyFill="1" applyBorder="1" applyAlignment="1">
      <alignment horizontal="center" vertical="center" wrapText="1"/>
    </xf>
    <xf numFmtId="0" fontId="7" fillId="30" borderId="5"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46" fillId="0" borderId="29" xfId="0" applyFont="1" applyBorder="1" applyAlignment="1" applyProtection="1">
      <alignment horizontal="center" vertical="center" wrapText="1"/>
      <protection locked="0"/>
    </xf>
    <xf numFmtId="0" fontId="46" fillId="0" borderId="22" xfId="0" applyFont="1" applyBorder="1" applyAlignment="1" applyProtection="1">
      <alignment horizontal="center" vertical="center" wrapText="1"/>
      <protection locked="0"/>
    </xf>
    <xf numFmtId="2" fontId="47" fillId="0" borderId="0" xfId="0" applyNumberFormat="1" applyFont="1" applyAlignment="1" applyProtection="1">
      <alignment horizontal="center" vertical="center" wrapText="1"/>
      <protection locked="0"/>
    </xf>
    <xf numFmtId="2" fontId="47" fillId="0" borderId="66" xfId="0" applyNumberFormat="1" applyFont="1" applyBorder="1" applyAlignment="1" applyProtection="1">
      <alignment horizontal="center" vertical="center" wrapText="1"/>
      <protection locked="0"/>
    </xf>
    <xf numFmtId="0" fontId="7" fillId="30" borderId="15" xfId="0" applyFont="1" applyFill="1" applyBorder="1" applyAlignment="1">
      <alignment horizontal="center" vertical="center" wrapText="1"/>
    </xf>
    <xf numFmtId="0" fontId="7" fillId="30" borderId="12" xfId="0" applyFont="1" applyFill="1" applyBorder="1" applyAlignment="1">
      <alignment horizontal="center" vertical="center" wrapText="1"/>
    </xf>
    <xf numFmtId="0" fontId="46" fillId="0" borderId="28" xfId="0" applyFont="1" applyBorder="1" applyAlignment="1" applyProtection="1">
      <alignment horizontal="center" vertical="center" wrapText="1"/>
      <protection locked="0"/>
    </xf>
    <xf numFmtId="2" fontId="46" fillId="0" borderId="30" xfId="0" applyNumberFormat="1" applyFont="1" applyBorder="1" applyAlignment="1" applyProtection="1">
      <alignment horizontal="center" vertical="center" wrapText="1"/>
      <protection locked="0"/>
    </xf>
    <xf numFmtId="2" fontId="46" fillId="0" borderId="27" xfId="0" applyNumberFormat="1" applyFont="1" applyBorder="1" applyAlignment="1" applyProtection="1">
      <alignment horizontal="center" vertical="center" wrapText="1"/>
      <protection locked="0"/>
    </xf>
    <xf numFmtId="2" fontId="9" fillId="0" borderId="28" xfId="0" applyNumberFormat="1" applyFont="1" applyBorder="1" applyAlignment="1" applyProtection="1">
      <alignment horizontal="center" vertical="center" wrapText="1"/>
      <protection locked="0"/>
    </xf>
    <xf numFmtId="2" fontId="9" fillId="0" borderId="66" xfId="0" applyNumberFormat="1" applyFont="1" applyBorder="1" applyAlignment="1" applyProtection="1">
      <alignment horizontal="center" vertical="center" wrapText="1"/>
      <protection locked="0"/>
    </xf>
    <xf numFmtId="2" fontId="46" fillId="0" borderId="28" xfId="0" applyNumberFormat="1" applyFont="1" applyBorder="1" applyAlignment="1" applyProtection="1">
      <alignment horizontal="center" vertical="center" wrapText="1"/>
      <protection locked="0"/>
    </xf>
    <xf numFmtId="2" fontId="46" fillId="0" borderId="66" xfId="0" applyNumberFormat="1" applyFont="1" applyBorder="1" applyAlignment="1" applyProtection="1">
      <alignment horizontal="center" vertical="center" wrapText="1"/>
      <protection locked="0"/>
    </xf>
    <xf numFmtId="2" fontId="9" fillId="0" borderId="25" xfId="0" applyNumberFormat="1" applyFont="1" applyBorder="1" applyAlignment="1" applyProtection="1">
      <alignment horizontal="center" vertical="center" wrapText="1"/>
      <protection locked="0"/>
    </xf>
    <xf numFmtId="2" fontId="9" fillId="0" borderId="65" xfId="0" applyNumberFormat="1" applyFont="1" applyBorder="1" applyAlignment="1" applyProtection="1">
      <alignment horizontal="center" vertical="center" wrapText="1"/>
      <protection locked="0"/>
    </xf>
    <xf numFmtId="0" fontId="48" fillId="0" borderId="30" xfId="0" applyFont="1" applyBorder="1" applyAlignment="1" applyProtection="1">
      <alignment horizontal="center" vertical="center" wrapText="1"/>
      <protection locked="0"/>
    </xf>
    <xf numFmtId="0" fontId="48" fillId="0" borderId="26" xfId="0" applyFont="1" applyBorder="1" applyAlignment="1" applyProtection="1">
      <alignment horizontal="center" vertical="center" wrapText="1"/>
      <protection locked="0"/>
    </xf>
    <xf numFmtId="164" fontId="41" fillId="0" borderId="13" xfId="0" applyNumberFormat="1" applyFont="1" applyBorder="1" applyAlignment="1" applyProtection="1">
      <alignment horizontal="center" vertical="center" wrapText="1"/>
      <protection locked="0"/>
    </xf>
    <xf numFmtId="164" fontId="41" fillId="0" borderId="14" xfId="0" applyNumberFormat="1" applyFont="1" applyBorder="1" applyAlignment="1" applyProtection="1">
      <alignment horizontal="center" vertical="center" wrapText="1"/>
      <protection locked="0"/>
    </xf>
    <xf numFmtId="0" fontId="4" fillId="0" borderId="8" xfId="0" applyFont="1" applyBorder="1" applyAlignment="1">
      <alignment horizontal="left" vertical="center"/>
    </xf>
    <xf numFmtId="0" fontId="4" fillId="0" borderId="18" xfId="0" applyFont="1" applyBorder="1" applyAlignment="1">
      <alignment horizontal="left" vertical="center"/>
    </xf>
    <xf numFmtId="0" fontId="4" fillId="0" borderId="15" xfId="0" applyFont="1" applyBorder="1" applyAlignment="1">
      <alignment horizontal="left" vertical="center"/>
    </xf>
    <xf numFmtId="0" fontId="4" fillId="0" borderId="11" xfId="0" applyFont="1" applyBorder="1" applyAlignment="1">
      <alignment horizontal="left" vertical="center"/>
    </xf>
    <xf numFmtId="165" fontId="36" fillId="30" borderId="15" xfId="0" applyNumberFormat="1" applyFont="1" applyFill="1" applyBorder="1" applyAlignment="1">
      <alignment horizontal="center" vertical="center"/>
    </xf>
    <xf numFmtId="165" fontId="36" fillId="30" borderId="11" xfId="0" applyNumberFormat="1" applyFont="1" applyFill="1" applyBorder="1" applyAlignment="1">
      <alignment horizontal="center" vertical="center"/>
    </xf>
    <xf numFmtId="0" fontId="19" fillId="31" borderId="168" xfId="11" applyFill="1" applyBorder="1" applyAlignment="1">
      <alignment horizontal="left" vertical="center"/>
    </xf>
    <xf numFmtId="0" fontId="19" fillId="31" borderId="150" xfId="11" applyFill="1" applyBorder="1" applyAlignment="1">
      <alignment horizontal="left" vertical="center"/>
    </xf>
    <xf numFmtId="0" fontId="88" fillId="0" borderId="25" xfId="11" applyFont="1" applyBorder="1" applyAlignment="1">
      <alignment horizontal="center" vertical="center"/>
    </xf>
    <xf numFmtId="0" fontId="88" fillId="0" borderId="20" xfId="11" applyFont="1" applyBorder="1" applyAlignment="1">
      <alignment horizontal="center" vertical="center"/>
    </xf>
    <xf numFmtId="0" fontId="88" fillId="0" borderId="65" xfId="11" applyFont="1" applyBorder="1" applyAlignment="1">
      <alignment horizontal="center" vertical="center"/>
    </xf>
    <xf numFmtId="0" fontId="19" fillId="16" borderId="25" xfId="11" applyFill="1" applyBorder="1" applyAlignment="1">
      <alignment horizontal="center" vertical="center"/>
    </xf>
    <xf numFmtId="0" fontId="19" fillId="16" borderId="65" xfId="11" applyFill="1" applyBorder="1" applyAlignment="1">
      <alignment horizontal="center" vertical="center"/>
    </xf>
    <xf numFmtId="0" fontId="19" fillId="16" borderId="20" xfId="11" applyFill="1" applyBorder="1" applyAlignment="1">
      <alignment horizontal="center" vertical="center"/>
    </xf>
    <xf numFmtId="0" fontId="19" fillId="31" borderId="165" xfId="11" applyFill="1" applyBorder="1" applyAlignment="1">
      <alignment horizontal="left" vertical="center"/>
    </xf>
    <xf numFmtId="0" fontId="19" fillId="31" borderId="166" xfId="11" applyFill="1" applyBorder="1" applyAlignment="1">
      <alignment horizontal="left" vertical="center"/>
    </xf>
    <xf numFmtId="175" fontId="19" fillId="31" borderId="25" xfId="11" applyNumberFormat="1" applyFill="1" applyBorder="1" applyAlignment="1">
      <alignment horizontal="center" vertical="center"/>
    </xf>
    <xf numFmtId="175" fontId="19" fillId="31" borderId="20" xfId="11" applyNumberFormat="1" applyFill="1" applyBorder="1" applyAlignment="1">
      <alignment horizontal="center" vertical="center"/>
    </xf>
    <xf numFmtId="175" fontId="19" fillId="31" borderId="65" xfId="11" applyNumberFormat="1" applyFill="1" applyBorder="1" applyAlignment="1">
      <alignment horizontal="center" vertical="center"/>
    </xf>
    <xf numFmtId="0" fontId="89" fillId="0" borderId="92" xfId="11" applyFont="1" applyBorder="1" applyAlignment="1">
      <alignment horizontal="center" vertical="center"/>
    </xf>
    <xf numFmtId="0" fontId="89" fillId="0" borderId="67" xfId="11" applyFont="1" applyBorder="1" applyAlignment="1">
      <alignment horizontal="center" vertical="center"/>
    </xf>
    <xf numFmtId="0" fontId="89" fillId="0" borderId="68" xfId="11" applyFont="1" applyBorder="1" applyAlignment="1">
      <alignment horizontal="center" vertical="center"/>
    </xf>
    <xf numFmtId="0" fontId="19" fillId="31" borderId="25" xfId="11" applyFill="1" applyBorder="1" applyAlignment="1">
      <alignment horizontal="left" vertical="center"/>
    </xf>
    <xf numFmtId="0" fontId="19" fillId="31" borderId="65" xfId="11" applyFill="1" applyBorder="1" applyAlignment="1">
      <alignment horizontal="left" vertical="center"/>
    </xf>
    <xf numFmtId="164" fontId="91" fillId="6" borderId="25" xfId="11" applyNumberFormat="1" applyFont="1" applyFill="1" applyBorder="1" applyAlignment="1">
      <alignment horizontal="center" vertical="center"/>
    </xf>
    <xf numFmtId="164" fontId="91" fillId="6" borderId="20" xfId="11" applyNumberFormat="1" applyFont="1" applyFill="1" applyBorder="1" applyAlignment="1">
      <alignment horizontal="center" vertical="center"/>
    </xf>
    <xf numFmtId="164" fontId="91" fillId="6" borderId="65" xfId="11" applyNumberFormat="1" applyFont="1" applyFill="1" applyBorder="1" applyAlignment="1">
      <alignment horizontal="center" vertical="center"/>
    </xf>
    <xf numFmtId="0" fontId="19" fillId="31" borderId="170" xfId="11" applyFill="1" applyBorder="1" applyAlignment="1">
      <alignment horizontal="left" vertical="center"/>
    </xf>
    <xf numFmtId="0" fontId="19" fillId="31" borderId="171" xfId="11" applyFill="1" applyBorder="1" applyAlignment="1">
      <alignment horizontal="left" vertical="center"/>
    </xf>
    <xf numFmtId="165" fontId="10" fillId="0" borderId="79" xfId="2" applyNumberFormat="1" applyFont="1" applyBorder="1" applyAlignment="1">
      <alignment horizontal="center" vertical="center"/>
    </xf>
    <xf numFmtId="165" fontId="10" fillId="0" borderId="81" xfId="2" applyNumberFormat="1" applyFont="1" applyBorder="1" applyAlignment="1">
      <alignment horizontal="center" vertical="center"/>
    </xf>
    <xf numFmtId="0" fontId="10" fillId="0" borderId="82" xfId="2" applyFont="1" applyBorder="1" applyAlignment="1">
      <alignment horizontal="center"/>
    </xf>
    <xf numFmtId="0" fontId="10" fillId="0" borderId="94" xfId="2" applyFont="1" applyBorder="1" applyAlignment="1">
      <alignment horizontal="center"/>
    </xf>
    <xf numFmtId="0" fontId="10" fillId="0" borderId="19" xfId="2" applyFont="1" applyBorder="1" applyAlignment="1">
      <alignment horizontal="center"/>
    </xf>
    <xf numFmtId="0" fontId="10" fillId="0" borderId="95" xfId="2" applyFont="1" applyBorder="1" applyAlignment="1">
      <alignment horizontal="center"/>
    </xf>
    <xf numFmtId="0" fontId="4" fillId="0" borderId="172" xfId="2" applyFont="1" applyBorder="1" applyAlignment="1">
      <alignment horizontal="center" vertical="center"/>
    </xf>
    <xf numFmtId="0" fontId="4" fillId="0" borderId="173" xfId="2" applyFont="1" applyBorder="1" applyAlignment="1">
      <alignment horizontal="center" vertical="center"/>
    </xf>
    <xf numFmtId="0" fontId="4" fillId="0" borderId="174" xfId="2" applyFont="1" applyBorder="1" applyAlignment="1">
      <alignment horizontal="center" vertical="center"/>
    </xf>
    <xf numFmtId="0" fontId="4" fillId="0" borderId="79" xfId="2" applyFont="1" applyBorder="1" applyAlignment="1">
      <alignment horizontal="left" vertical="center"/>
    </xf>
    <xf numFmtId="0" fontId="4" fillId="0" borderId="80" xfId="2" applyFont="1" applyBorder="1" applyAlignment="1">
      <alignment horizontal="left" vertical="center"/>
    </xf>
    <xf numFmtId="0" fontId="4" fillId="0" borderId="81" xfId="2" applyFont="1" applyBorder="1" applyAlignment="1">
      <alignment horizontal="left" vertical="center"/>
    </xf>
    <xf numFmtId="0" fontId="4" fillId="0" borderId="172" xfId="2" applyFont="1" applyBorder="1" applyAlignment="1" applyProtection="1">
      <alignment horizontal="left" vertical="top"/>
      <protection locked="0"/>
    </xf>
    <xf numFmtId="0" fontId="4" fillId="0" borderId="173" xfId="2" applyFont="1" applyBorder="1" applyAlignment="1" applyProtection="1">
      <alignment horizontal="left" vertical="top"/>
      <protection locked="0"/>
    </xf>
    <xf numFmtId="0" fontId="4" fillId="0" borderId="174" xfId="2" applyFont="1" applyBorder="1" applyAlignment="1" applyProtection="1">
      <alignment horizontal="left" vertical="top"/>
      <protection locked="0"/>
    </xf>
    <xf numFmtId="165" fontId="10" fillId="1" borderId="87" xfId="2" applyNumberFormat="1" applyFont="1" applyFill="1" applyBorder="1" applyAlignment="1">
      <alignment horizontal="center" vertical="center"/>
    </xf>
    <xf numFmtId="165" fontId="10" fillId="1" borderId="88" xfId="2" applyNumberFormat="1" applyFont="1" applyFill="1" applyBorder="1" applyAlignment="1">
      <alignment horizontal="center" vertical="center"/>
    </xf>
    <xf numFmtId="0" fontId="4" fillId="6" borderId="172" xfId="2" applyFont="1" applyFill="1" applyBorder="1" applyAlignment="1">
      <alignment horizontal="center" vertical="center"/>
    </xf>
    <xf numFmtId="0" fontId="4" fillId="6" borderId="173" xfId="2" applyFont="1" applyFill="1" applyBorder="1" applyAlignment="1">
      <alignment horizontal="center" vertical="center"/>
    </xf>
    <xf numFmtId="0" fontId="4" fillId="6" borderId="174" xfId="2" applyFont="1" applyFill="1" applyBorder="1" applyAlignment="1">
      <alignment horizontal="center" vertical="center"/>
    </xf>
    <xf numFmtId="0" fontId="57" fillId="0" borderId="8" xfId="2" applyFont="1" applyBorder="1" applyAlignment="1">
      <alignment horizontal="center" vertical="center"/>
    </xf>
    <xf numFmtId="0" fontId="57" fillId="0" borderId="9" xfId="2" applyFont="1" applyBorder="1" applyAlignment="1">
      <alignment horizontal="center" vertical="center"/>
    </xf>
    <xf numFmtId="0" fontId="57" fillId="0" borderId="4" xfId="2" applyFont="1" applyBorder="1" applyAlignment="1">
      <alignment horizontal="center" vertical="center"/>
    </xf>
    <xf numFmtId="0" fontId="57" fillId="0" borderId="18" xfId="2" applyFont="1" applyBorder="1" applyAlignment="1">
      <alignment horizontal="center" vertical="center"/>
    </xf>
    <xf numFmtId="0" fontId="57" fillId="0" borderId="53" xfId="2" applyFont="1" applyBorder="1" applyAlignment="1">
      <alignment horizontal="center" vertical="center"/>
    </xf>
    <xf numFmtId="0" fontId="57" fillId="0" borderId="10" xfId="2" applyFont="1" applyBorder="1" applyAlignment="1">
      <alignment horizontal="center" vertical="center"/>
    </xf>
    <xf numFmtId="0" fontId="10" fillId="11" borderId="13" xfId="2" applyFont="1" applyFill="1" applyBorder="1" applyAlignment="1">
      <alignment horizontal="left" vertical="center"/>
    </xf>
    <xf numFmtId="0" fontId="10" fillId="11" borderId="14" xfId="2" applyFont="1" applyFill="1" applyBorder="1" applyAlignment="1">
      <alignment horizontal="left" vertical="center"/>
    </xf>
    <xf numFmtId="0" fontId="10" fillId="11" borderId="56" xfId="2" applyFont="1" applyFill="1" applyBorder="1" applyAlignment="1">
      <alignment horizontal="left" vertical="center"/>
    </xf>
    <xf numFmtId="0" fontId="10" fillId="11" borderId="43" xfId="2" applyFont="1" applyFill="1" applyBorder="1" applyAlignment="1">
      <alignment horizontal="left" vertical="center"/>
    </xf>
    <xf numFmtId="0" fontId="10" fillId="0" borderId="8" xfId="2" applyFont="1" applyBorder="1" applyAlignment="1">
      <alignment horizontal="center" vertical="center"/>
    </xf>
    <xf numFmtId="0" fontId="10" fillId="0" borderId="9" xfId="2" applyFont="1" applyBorder="1" applyAlignment="1">
      <alignment horizontal="center" vertical="center"/>
    </xf>
    <xf numFmtId="0" fontId="10" fillId="0" borderId="60" xfId="2" applyFont="1" applyBorder="1" applyAlignment="1">
      <alignment horizontal="center" vertical="center"/>
    </xf>
    <xf numFmtId="0" fontId="10" fillId="0" borderId="0" xfId="2" applyFont="1" applyAlignment="1">
      <alignment horizontal="center" vertical="center"/>
    </xf>
    <xf numFmtId="0" fontId="10" fillId="11" borderId="57" xfId="2" applyFont="1" applyFill="1" applyBorder="1" applyAlignment="1">
      <alignment horizontal="left" vertical="center"/>
    </xf>
    <xf numFmtId="0" fontId="10" fillId="11" borderId="44" xfId="2" applyFont="1" applyFill="1" applyBorder="1" applyAlignment="1">
      <alignment horizontal="left" vertical="center"/>
    </xf>
    <xf numFmtId="0" fontId="56" fillId="0" borderId="8" xfId="2" applyFont="1" applyBorder="1" applyAlignment="1">
      <alignment horizontal="center" vertical="center"/>
    </xf>
    <xf numFmtId="0" fontId="56" fillId="0" borderId="9" xfId="2" applyFont="1" applyBorder="1" applyAlignment="1">
      <alignment horizontal="center" vertical="center"/>
    </xf>
    <xf numFmtId="0" fontId="56" fillId="0" borderId="4" xfId="2" applyFont="1" applyBorder="1" applyAlignment="1">
      <alignment horizontal="center" vertical="center"/>
    </xf>
    <xf numFmtId="0" fontId="56" fillId="0" borderId="18" xfId="2" applyFont="1" applyBorder="1" applyAlignment="1">
      <alignment horizontal="center" vertical="center"/>
    </xf>
    <xf numFmtId="0" fontId="56" fillId="0" borderId="53" xfId="2" applyFont="1" applyBorder="1" applyAlignment="1">
      <alignment horizontal="center" vertical="center"/>
    </xf>
    <xf numFmtId="0" fontId="56" fillId="0" borderId="10" xfId="2" applyFont="1" applyBorder="1" applyAlignment="1">
      <alignment horizontal="center" vertical="center"/>
    </xf>
    <xf numFmtId="0" fontId="10" fillId="12" borderId="15" xfId="2" applyFont="1" applyFill="1" applyBorder="1" applyAlignment="1">
      <alignment horizontal="center" vertical="center" wrapText="1"/>
    </xf>
    <xf numFmtId="0" fontId="10" fillId="12" borderId="12" xfId="2" applyFont="1" applyFill="1" applyBorder="1" applyAlignment="1">
      <alignment horizontal="center" vertical="center" wrapText="1"/>
    </xf>
    <xf numFmtId="0" fontId="10" fillId="12" borderId="11" xfId="2" applyFont="1" applyFill="1" applyBorder="1" applyAlignment="1">
      <alignment horizontal="center" vertical="center" wrapText="1"/>
    </xf>
    <xf numFmtId="0" fontId="10" fillId="12" borderId="4" xfId="2" applyFont="1" applyFill="1" applyBorder="1" applyAlignment="1">
      <alignment horizontal="center" vertical="center"/>
    </xf>
    <xf numFmtId="0" fontId="10" fillId="12" borderId="5" xfId="2" applyFont="1" applyFill="1" applyBorder="1" applyAlignment="1">
      <alignment horizontal="center" vertical="center"/>
    </xf>
    <xf numFmtId="0" fontId="10" fillId="0" borderId="60" xfId="2" applyFont="1" applyBorder="1" applyAlignment="1">
      <alignment horizontal="center"/>
    </xf>
    <xf numFmtId="0" fontId="10" fillId="0" borderId="0" xfId="2" applyFont="1" applyAlignment="1">
      <alignment horizontal="center"/>
    </xf>
    <xf numFmtId="0" fontId="10" fillId="0" borderId="5" xfId="2" applyFont="1" applyBorder="1" applyAlignment="1">
      <alignment horizontal="center"/>
    </xf>
    <xf numFmtId="0" fontId="10" fillId="11" borderId="62" xfId="2" applyFont="1" applyFill="1" applyBorder="1" applyAlignment="1">
      <alignment horizontal="left" vertical="center"/>
    </xf>
    <xf numFmtId="0" fontId="10" fillId="11" borderId="63" xfId="2" applyFont="1" applyFill="1" applyBorder="1" applyAlignment="1">
      <alignment horizontal="left" vertical="center"/>
    </xf>
    <xf numFmtId="165" fontId="7" fillId="5" borderId="41" xfId="2" applyNumberFormat="1" applyFont="1" applyFill="1" applyBorder="1" applyAlignment="1">
      <alignment horizontal="center" vertical="center"/>
    </xf>
    <xf numFmtId="165" fontId="7" fillId="5" borderId="40" xfId="2" applyNumberFormat="1" applyFont="1" applyFill="1" applyBorder="1" applyAlignment="1">
      <alignment horizontal="center" vertical="center"/>
    </xf>
    <xf numFmtId="0" fontId="4" fillId="0" borderId="15" xfId="2" applyFont="1" applyBorder="1" applyAlignment="1">
      <alignment horizontal="center" vertical="center"/>
    </xf>
    <xf numFmtId="0" fontId="4" fillId="0" borderId="11" xfId="2" applyFont="1" applyBorder="1" applyAlignment="1">
      <alignment horizontal="center" vertical="center"/>
    </xf>
    <xf numFmtId="0" fontId="4" fillId="0" borderId="15" xfId="2" applyFont="1" applyBorder="1" applyAlignment="1">
      <alignment horizontal="center" vertical="center" wrapText="1"/>
    </xf>
    <xf numFmtId="0" fontId="4" fillId="0" borderId="11" xfId="2" applyFont="1" applyBorder="1" applyAlignment="1">
      <alignment horizontal="center" vertical="center" wrapText="1"/>
    </xf>
    <xf numFmtId="0" fontId="10" fillId="0" borderId="8" xfId="2" applyFont="1" applyBorder="1" applyAlignment="1">
      <alignment horizontal="center"/>
    </xf>
    <xf numFmtId="0" fontId="10" fillId="0" borderId="9" xfId="2" applyFont="1" applyBorder="1" applyAlignment="1">
      <alignment horizontal="center"/>
    </xf>
    <xf numFmtId="0" fontId="10" fillId="0" borderId="4" xfId="2" applyFont="1" applyBorder="1" applyAlignment="1">
      <alignment horizontal="center"/>
    </xf>
    <xf numFmtId="0" fontId="10" fillId="0" borderId="18" xfId="2" applyFont="1" applyBorder="1" applyAlignment="1">
      <alignment horizontal="center"/>
    </xf>
    <xf numFmtId="0" fontId="10" fillId="0" borderId="53" xfId="2" applyFont="1" applyBorder="1" applyAlignment="1">
      <alignment horizontal="center"/>
    </xf>
    <xf numFmtId="166" fontId="0" fillId="0" borderId="0" xfId="0" applyNumberFormat="1"/>
    <xf numFmtId="2" fontId="0" fillId="0" borderId="0" xfId="0" applyNumberFormat="1" applyBorder="1"/>
    <xf numFmtId="166" fontId="46" fillId="0" borderId="68" xfId="0" applyNumberFormat="1" applyFont="1" applyBorder="1" applyAlignment="1" applyProtection="1">
      <alignment horizontal="center" vertical="center" wrapText="1"/>
      <protection locked="0"/>
    </xf>
    <xf numFmtId="164" fontId="94" fillId="0" borderId="0" xfId="0" applyNumberFormat="1" applyFont="1" applyAlignment="1">
      <alignment vertical="center"/>
    </xf>
    <xf numFmtId="174" fontId="46" fillId="0" borderId="66" xfId="5" applyNumberFormat="1" applyFont="1" applyBorder="1" applyAlignment="1" applyProtection="1">
      <alignment vertical="center"/>
      <protection locked="0"/>
    </xf>
    <xf numFmtId="166" fontId="9" fillId="0" borderId="64" xfId="0" applyNumberFormat="1" applyFont="1" applyBorder="1" applyAlignment="1" applyProtection="1">
      <alignment horizontal="center" vertical="center" wrapText="1"/>
      <protection locked="0"/>
    </xf>
    <xf numFmtId="166" fontId="9" fillId="0" borderId="92" xfId="0" applyNumberFormat="1" applyFont="1" applyBorder="1" applyAlignment="1" applyProtection="1">
      <alignment horizontal="center" vertical="center" wrapText="1"/>
      <protection locked="0"/>
    </xf>
    <xf numFmtId="175" fontId="19" fillId="31" borderId="169" xfId="11" applyNumberFormat="1" applyFill="1" applyBorder="1" applyAlignment="1">
      <alignment horizontal="right" vertical="center"/>
    </xf>
    <xf numFmtId="166" fontId="46" fillId="0" borderId="66" xfId="0" applyNumberFormat="1" applyFont="1" applyBorder="1" applyAlignment="1" applyProtection="1">
      <alignment horizontal="center" vertical="center" wrapText="1"/>
      <protection locked="0"/>
    </xf>
    <xf numFmtId="49" fontId="95" fillId="0" borderId="0" xfId="12" applyNumberFormat="1" applyFont="1" applyAlignment="1" applyProtection="1">
      <alignment horizontal="center" vertical="center" wrapText="1"/>
      <protection locked="0"/>
    </xf>
    <xf numFmtId="0" fontId="4" fillId="0" borderId="0" xfId="0" applyFont="1" applyBorder="1" applyAlignment="1">
      <alignment horizontal="center" vertical="center" wrapText="1"/>
    </xf>
    <xf numFmtId="2" fontId="35" fillId="0" borderId="0" xfId="0" applyNumberFormat="1" applyFont="1" applyBorder="1" applyAlignment="1">
      <alignment horizontal="center" vertical="center"/>
    </xf>
  </cellXfs>
  <cellStyles count="13">
    <cellStyle name="Euro" xfId="9" xr:uid="{CF8ADB38-5EF1-40EA-85CC-565E2E3D9156}"/>
    <cellStyle name="Milliers" xfId="1" builtinId="3"/>
    <cellStyle name="Milliers_Feuil1" xfId="8" xr:uid="{B431EC4F-9204-4140-857E-E9C9ED596760}"/>
    <cellStyle name="Monétaire" xfId="6" builtinId="4"/>
    <cellStyle name="Normal" xfId="0" builtinId="0"/>
    <cellStyle name="Normal 2" xfId="2" xr:uid="{1E4E24E5-CCC7-4710-86D8-64CC142D6028}"/>
    <cellStyle name="Normal 2 2" xfId="11" xr:uid="{734B2CF5-BCD0-4150-844D-66FE22475931}"/>
    <cellStyle name="Normal 3" xfId="3" xr:uid="{BDE7B83A-EC81-449E-A763-E5C8F610BBA5}"/>
    <cellStyle name="Normal 4" xfId="4" xr:uid="{DE6F1227-A355-4184-B72D-B8D5AC136F93}"/>
    <cellStyle name="Normal 4 2" xfId="10" xr:uid="{88DEFF69-0A00-4441-ADE5-4D6C32B7A02A}"/>
    <cellStyle name="Normal 7" xfId="12" xr:uid="{761F2790-ECC6-4929-B1F3-9889606ADC93}"/>
    <cellStyle name="Pourcentage" xfId="5" builtinId="5"/>
    <cellStyle name="Pourcentage 2" xfId="7" xr:uid="{60D74A6D-3DB2-4839-8DE6-5F64DEA8386D}"/>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19050</xdr:colOff>
      <xdr:row>4</xdr:row>
      <xdr:rowOff>209550</xdr:rowOff>
    </xdr:from>
    <xdr:to>
      <xdr:col>13</xdr:col>
      <xdr:colOff>0</xdr:colOff>
      <xdr:row>5</xdr:row>
      <xdr:rowOff>7619</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543050" y="1285875"/>
          <a:ext cx="8362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1905</xdr:colOff>
      <xdr:row>4</xdr:row>
      <xdr:rowOff>0</xdr:rowOff>
    </xdr:from>
    <xdr:to>
      <xdr:col>2</xdr:col>
      <xdr:colOff>47624</xdr:colOff>
      <xdr:row>4</xdr:row>
      <xdr:rowOff>238125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1525905" y="1076325"/>
          <a:ext cx="45719" cy="238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12</xdr:col>
      <xdr:colOff>735330</xdr:colOff>
      <xdr:row>4</xdr:row>
      <xdr:rowOff>9525</xdr:rowOff>
    </xdr:from>
    <xdr:to>
      <xdr:col>13</xdr:col>
      <xdr:colOff>19049</xdr:colOff>
      <xdr:row>5</xdr:row>
      <xdr:rowOff>9525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flipH="1">
          <a:off x="9879330" y="1085850"/>
          <a:ext cx="45719" cy="247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304799</xdr:colOff>
      <xdr:row>4</xdr:row>
      <xdr:rowOff>9526</xdr:rowOff>
    </xdr:from>
    <xdr:to>
      <xdr:col>7</xdr:col>
      <xdr:colOff>352424</xdr:colOff>
      <xdr:row>4</xdr:row>
      <xdr:rowOff>219076</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flipH="1">
          <a:off x="5638799" y="1085851"/>
          <a:ext cx="47625" cy="209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752475</xdr:colOff>
      <xdr:row>5</xdr:row>
      <xdr:rowOff>38100</xdr:rowOff>
    </xdr:from>
    <xdr:to>
      <xdr:col>9</xdr:col>
      <xdr:colOff>47625</xdr:colOff>
      <xdr:row>5</xdr:row>
      <xdr:rowOff>228600</xdr:rowOff>
    </xdr:to>
    <xdr:sp macro="" textlink="">
      <xdr:nvSpPr>
        <xdr:cNvPr id="6" name="Flèche vers le bas 5">
          <a:extLst>
            <a:ext uri="{FF2B5EF4-FFF2-40B4-BE49-F238E27FC236}">
              <a16:creationId xmlns:a16="http://schemas.microsoft.com/office/drawing/2014/main" id="{00000000-0008-0000-0100-000006000000}"/>
            </a:ext>
          </a:extLst>
        </xdr:cNvPr>
        <xdr:cNvSpPr/>
      </xdr:nvSpPr>
      <xdr:spPr>
        <a:xfrm>
          <a:off x="6848475" y="1362075"/>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9524</xdr:colOff>
      <xdr:row>7</xdr:row>
      <xdr:rowOff>220980</xdr:rowOff>
    </xdr:from>
    <xdr:to>
      <xdr:col>10</xdr:col>
      <xdr:colOff>19049</xdr:colOff>
      <xdr:row>8</xdr:row>
      <xdr:rowOff>19049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flipV="1">
          <a:off x="3819524" y="2040255"/>
          <a:ext cx="3819525"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744857</xdr:colOff>
      <xdr:row>7</xdr:row>
      <xdr:rowOff>0</xdr:rowOff>
    </xdr:from>
    <xdr:to>
      <xdr:col>5</xdr:col>
      <xdr:colOff>28576</xdr:colOff>
      <xdr:row>8</xdr:row>
      <xdr:rowOff>19053</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rot="5400000">
          <a:off x="3682365" y="192976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9</xdr:col>
      <xdr:colOff>742950</xdr:colOff>
      <xdr:row>7</xdr:row>
      <xdr:rowOff>0</xdr:rowOff>
    </xdr:from>
    <xdr:to>
      <xdr:col>10</xdr:col>
      <xdr:colOff>26669</xdr:colOff>
      <xdr:row>8</xdr:row>
      <xdr:rowOff>19053</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rot="5400000">
          <a:off x="7490458" y="192976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723900</xdr:colOff>
      <xdr:row>8</xdr:row>
      <xdr:rowOff>28575</xdr:rowOff>
    </xdr:from>
    <xdr:to>
      <xdr:col>9</xdr:col>
      <xdr:colOff>19050</xdr:colOff>
      <xdr:row>8</xdr:row>
      <xdr:rowOff>219075</xdr:rowOff>
    </xdr:to>
    <xdr:sp macro="" textlink="">
      <xdr:nvSpPr>
        <xdr:cNvPr id="10" name="Flèche vers le bas 9">
          <a:extLst>
            <a:ext uri="{FF2B5EF4-FFF2-40B4-BE49-F238E27FC236}">
              <a16:creationId xmlns:a16="http://schemas.microsoft.com/office/drawing/2014/main" id="{00000000-0008-0000-0100-00000A000000}"/>
            </a:ext>
          </a:extLst>
        </xdr:cNvPr>
        <xdr:cNvSpPr/>
      </xdr:nvSpPr>
      <xdr:spPr>
        <a:xfrm>
          <a:off x="6819900" y="2095500"/>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3</xdr:col>
      <xdr:colOff>752475</xdr:colOff>
      <xdr:row>10</xdr:row>
      <xdr:rowOff>228598</xdr:rowOff>
    </xdr:from>
    <xdr:to>
      <xdr:col>9</xdr:col>
      <xdr:colOff>752476</xdr:colOff>
      <xdr:row>11</xdr:row>
      <xdr:rowOff>26667</xdr:rowOff>
    </xdr:to>
    <xdr:sp macro="" textlink="">
      <xdr:nvSpPr>
        <xdr:cNvPr id="11" name="Rectangle 10">
          <a:extLst>
            <a:ext uri="{FF2B5EF4-FFF2-40B4-BE49-F238E27FC236}">
              <a16:creationId xmlns:a16="http://schemas.microsoft.com/office/drawing/2014/main" id="{00000000-0008-0000-0100-00000B000000}"/>
            </a:ext>
          </a:extLst>
        </xdr:cNvPr>
        <xdr:cNvSpPr/>
      </xdr:nvSpPr>
      <xdr:spPr>
        <a:xfrm flipV="1">
          <a:off x="3038475" y="2790823"/>
          <a:ext cx="4572001"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3</xdr:col>
      <xdr:colOff>733425</xdr:colOff>
      <xdr:row>10</xdr:row>
      <xdr:rowOff>0</xdr:rowOff>
    </xdr:from>
    <xdr:to>
      <xdr:col>4</xdr:col>
      <xdr:colOff>17144</xdr:colOff>
      <xdr:row>11</xdr:row>
      <xdr:rowOff>19053</xdr:rowOff>
    </xdr:to>
    <xdr:sp macro="" textlink="">
      <xdr:nvSpPr>
        <xdr:cNvPr id="12" name="Rectangle 11">
          <a:extLst>
            <a:ext uri="{FF2B5EF4-FFF2-40B4-BE49-F238E27FC236}">
              <a16:creationId xmlns:a16="http://schemas.microsoft.com/office/drawing/2014/main" id="{00000000-0008-0000-0100-00000C000000}"/>
            </a:ext>
          </a:extLst>
        </xdr:cNvPr>
        <xdr:cNvSpPr/>
      </xdr:nvSpPr>
      <xdr:spPr>
        <a:xfrm rot="5400000">
          <a:off x="2908933" y="267271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9</xdr:col>
      <xdr:colOff>733425</xdr:colOff>
      <xdr:row>10</xdr:row>
      <xdr:rowOff>0</xdr:rowOff>
    </xdr:from>
    <xdr:to>
      <xdr:col>10</xdr:col>
      <xdr:colOff>17144</xdr:colOff>
      <xdr:row>11</xdr:row>
      <xdr:rowOff>19053</xdr:rowOff>
    </xdr:to>
    <xdr:sp macro="" textlink="">
      <xdr:nvSpPr>
        <xdr:cNvPr id="13" name="Rectangle 12">
          <a:extLst>
            <a:ext uri="{FF2B5EF4-FFF2-40B4-BE49-F238E27FC236}">
              <a16:creationId xmlns:a16="http://schemas.microsoft.com/office/drawing/2014/main" id="{00000000-0008-0000-0100-00000D000000}"/>
            </a:ext>
          </a:extLst>
        </xdr:cNvPr>
        <xdr:cNvSpPr/>
      </xdr:nvSpPr>
      <xdr:spPr>
        <a:xfrm rot="5400000">
          <a:off x="7480933" y="267271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752475</xdr:colOff>
      <xdr:row>11</xdr:row>
      <xdr:rowOff>28575</xdr:rowOff>
    </xdr:from>
    <xdr:to>
      <xdr:col>6</xdr:col>
      <xdr:colOff>47625</xdr:colOff>
      <xdr:row>11</xdr:row>
      <xdr:rowOff>219075</xdr:rowOff>
    </xdr:to>
    <xdr:sp macro="" textlink="">
      <xdr:nvSpPr>
        <xdr:cNvPr id="14" name="Flèche vers le bas 13">
          <a:extLst>
            <a:ext uri="{FF2B5EF4-FFF2-40B4-BE49-F238E27FC236}">
              <a16:creationId xmlns:a16="http://schemas.microsoft.com/office/drawing/2014/main" id="{00000000-0008-0000-0100-00000E000000}"/>
            </a:ext>
          </a:extLst>
        </xdr:cNvPr>
        <xdr:cNvSpPr/>
      </xdr:nvSpPr>
      <xdr:spPr>
        <a:xfrm>
          <a:off x="4562475" y="2838450"/>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752475</xdr:colOff>
      <xdr:row>13</xdr:row>
      <xdr:rowOff>228600</xdr:rowOff>
    </xdr:from>
    <xdr:to>
      <xdr:col>11</xdr:col>
      <xdr:colOff>752476</xdr:colOff>
      <xdr:row>14</xdr:row>
      <xdr:rowOff>26669</xdr:rowOff>
    </xdr:to>
    <xdr:sp macro="" textlink="">
      <xdr:nvSpPr>
        <xdr:cNvPr id="15" name="Rectangle 14">
          <a:extLst>
            <a:ext uri="{FF2B5EF4-FFF2-40B4-BE49-F238E27FC236}">
              <a16:creationId xmlns:a16="http://schemas.microsoft.com/office/drawing/2014/main" id="{00000000-0008-0000-0100-00000F000000}"/>
            </a:ext>
          </a:extLst>
        </xdr:cNvPr>
        <xdr:cNvSpPr/>
      </xdr:nvSpPr>
      <xdr:spPr>
        <a:xfrm flipV="1">
          <a:off x="4562475" y="3533775"/>
          <a:ext cx="4572001"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752475</xdr:colOff>
      <xdr:row>13</xdr:row>
      <xdr:rowOff>0</xdr:rowOff>
    </xdr:from>
    <xdr:to>
      <xdr:col>6</xdr:col>
      <xdr:colOff>36194</xdr:colOff>
      <xdr:row>14</xdr:row>
      <xdr:rowOff>19053</xdr:rowOff>
    </xdr:to>
    <xdr:sp macro="" textlink="">
      <xdr:nvSpPr>
        <xdr:cNvPr id="16" name="Rectangle 15">
          <a:extLst>
            <a:ext uri="{FF2B5EF4-FFF2-40B4-BE49-F238E27FC236}">
              <a16:creationId xmlns:a16="http://schemas.microsoft.com/office/drawing/2014/main" id="{00000000-0008-0000-0100-000010000000}"/>
            </a:ext>
          </a:extLst>
        </xdr:cNvPr>
        <xdr:cNvSpPr/>
      </xdr:nvSpPr>
      <xdr:spPr>
        <a:xfrm rot="5400000">
          <a:off x="4451983" y="341566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11</xdr:col>
      <xdr:colOff>733425</xdr:colOff>
      <xdr:row>13</xdr:row>
      <xdr:rowOff>0</xdr:rowOff>
    </xdr:from>
    <xdr:to>
      <xdr:col>12</xdr:col>
      <xdr:colOff>17144</xdr:colOff>
      <xdr:row>14</xdr:row>
      <xdr:rowOff>19053</xdr:rowOff>
    </xdr:to>
    <xdr:sp macro="" textlink="">
      <xdr:nvSpPr>
        <xdr:cNvPr id="17" name="Rectangle 16">
          <a:extLst>
            <a:ext uri="{FF2B5EF4-FFF2-40B4-BE49-F238E27FC236}">
              <a16:creationId xmlns:a16="http://schemas.microsoft.com/office/drawing/2014/main" id="{00000000-0008-0000-0100-000011000000}"/>
            </a:ext>
          </a:extLst>
        </xdr:cNvPr>
        <xdr:cNvSpPr/>
      </xdr:nvSpPr>
      <xdr:spPr>
        <a:xfrm rot="5400000">
          <a:off x="9004933" y="341566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752475</xdr:colOff>
      <xdr:row>14</xdr:row>
      <xdr:rowOff>38100</xdr:rowOff>
    </xdr:from>
    <xdr:to>
      <xdr:col>7</xdr:col>
      <xdr:colOff>47625</xdr:colOff>
      <xdr:row>14</xdr:row>
      <xdr:rowOff>228600</xdr:rowOff>
    </xdr:to>
    <xdr:sp macro="" textlink="">
      <xdr:nvSpPr>
        <xdr:cNvPr id="18" name="Flèche vers le bas 17">
          <a:extLst>
            <a:ext uri="{FF2B5EF4-FFF2-40B4-BE49-F238E27FC236}">
              <a16:creationId xmlns:a16="http://schemas.microsoft.com/office/drawing/2014/main" id="{00000000-0008-0000-0100-000012000000}"/>
            </a:ext>
          </a:extLst>
        </xdr:cNvPr>
        <xdr:cNvSpPr/>
      </xdr:nvSpPr>
      <xdr:spPr>
        <a:xfrm>
          <a:off x="5324475" y="3590925"/>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0</xdr:colOff>
      <xdr:row>16</xdr:row>
      <xdr:rowOff>238124</xdr:rowOff>
    </xdr:from>
    <xdr:to>
      <xdr:col>9</xdr:col>
      <xdr:colOff>752475</xdr:colOff>
      <xdr:row>17</xdr:row>
      <xdr:rowOff>36193</xdr:rowOff>
    </xdr:to>
    <xdr:sp macro="" textlink="">
      <xdr:nvSpPr>
        <xdr:cNvPr id="19" name="Rectangle 18">
          <a:extLst>
            <a:ext uri="{FF2B5EF4-FFF2-40B4-BE49-F238E27FC236}">
              <a16:creationId xmlns:a16="http://schemas.microsoft.com/office/drawing/2014/main" id="{00000000-0008-0000-0100-000013000000}"/>
            </a:ext>
          </a:extLst>
        </xdr:cNvPr>
        <xdr:cNvSpPr/>
      </xdr:nvSpPr>
      <xdr:spPr>
        <a:xfrm flipV="1">
          <a:off x="4572000" y="4286249"/>
          <a:ext cx="3038475"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0</xdr:colOff>
      <xdr:row>16</xdr:row>
      <xdr:rowOff>0</xdr:rowOff>
    </xdr:from>
    <xdr:to>
      <xdr:col>6</xdr:col>
      <xdr:colOff>45719</xdr:colOff>
      <xdr:row>17</xdr:row>
      <xdr:rowOff>19053</xdr:rowOff>
    </xdr:to>
    <xdr:sp macro="" textlink="">
      <xdr:nvSpPr>
        <xdr:cNvPr id="20" name="Rectangle 19">
          <a:extLst>
            <a:ext uri="{FF2B5EF4-FFF2-40B4-BE49-F238E27FC236}">
              <a16:creationId xmlns:a16="http://schemas.microsoft.com/office/drawing/2014/main" id="{00000000-0008-0000-0100-000014000000}"/>
            </a:ext>
          </a:extLst>
        </xdr:cNvPr>
        <xdr:cNvSpPr/>
      </xdr:nvSpPr>
      <xdr:spPr>
        <a:xfrm rot="5400000">
          <a:off x="4461508" y="415861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9</xdr:col>
      <xdr:colOff>714375</xdr:colOff>
      <xdr:row>16</xdr:row>
      <xdr:rowOff>0</xdr:rowOff>
    </xdr:from>
    <xdr:to>
      <xdr:col>9</xdr:col>
      <xdr:colOff>760094</xdr:colOff>
      <xdr:row>17</xdr:row>
      <xdr:rowOff>19053</xdr:rowOff>
    </xdr:to>
    <xdr:sp macro="" textlink="">
      <xdr:nvSpPr>
        <xdr:cNvPr id="21" name="Rectangle 20">
          <a:extLst>
            <a:ext uri="{FF2B5EF4-FFF2-40B4-BE49-F238E27FC236}">
              <a16:creationId xmlns:a16="http://schemas.microsoft.com/office/drawing/2014/main" id="{00000000-0008-0000-0100-000015000000}"/>
            </a:ext>
          </a:extLst>
        </xdr:cNvPr>
        <xdr:cNvSpPr/>
      </xdr:nvSpPr>
      <xdr:spPr>
        <a:xfrm rot="5400000">
          <a:off x="7461883" y="415861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438150</xdr:colOff>
      <xdr:row>19</xdr:row>
      <xdr:rowOff>9525</xdr:rowOff>
    </xdr:from>
    <xdr:to>
      <xdr:col>4</xdr:col>
      <xdr:colOff>483869</xdr:colOff>
      <xdr:row>20</xdr:row>
      <xdr:rowOff>28578</xdr:rowOff>
    </xdr:to>
    <xdr:sp macro="" textlink="">
      <xdr:nvSpPr>
        <xdr:cNvPr id="22" name="Rectangle 21">
          <a:extLst>
            <a:ext uri="{FF2B5EF4-FFF2-40B4-BE49-F238E27FC236}">
              <a16:creationId xmlns:a16="http://schemas.microsoft.com/office/drawing/2014/main" id="{00000000-0008-0000-0100-000016000000}"/>
            </a:ext>
          </a:extLst>
        </xdr:cNvPr>
        <xdr:cNvSpPr/>
      </xdr:nvSpPr>
      <xdr:spPr>
        <a:xfrm rot="5400000">
          <a:off x="3375658" y="4911092"/>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0</xdr:colOff>
      <xdr:row>19</xdr:row>
      <xdr:rowOff>0</xdr:rowOff>
    </xdr:from>
    <xdr:to>
      <xdr:col>8</xdr:col>
      <xdr:colOff>45719</xdr:colOff>
      <xdr:row>20</xdr:row>
      <xdr:rowOff>19053</xdr:rowOff>
    </xdr:to>
    <xdr:sp macro="" textlink="">
      <xdr:nvSpPr>
        <xdr:cNvPr id="23" name="Rectangle 22">
          <a:extLst>
            <a:ext uri="{FF2B5EF4-FFF2-40B4-BE49-F238E27FC236}">
              <a16:creationId xmlns:a16="http://schemas.microsoft.com/office/drawing/2014/main" id="{00000000-0008-0000-0100-000017000000}"/>
            </a:ext>
          </a:extLst>
        </xdr:cNvPr>
        <xdr:cNvSpPr/>
      </xdr:nvSpPr>
      <xdr:spPr>
        <a:xfrm rot="5400000">
          <a:off x="5985508" y="4901567"/>
          <a:ext cx="266703"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723900</xdr:colOff>
      <xdr:row>17</xdr:row>
      <xdr:rowOff>19050</xdr:rowOff>
    </xdr:from>
    <xdr:to>
      <xdr:col>9</xdr:col>
      <xdr:colOff>19050</xdr:colOff>
      <xdr:row>17</xdr:row>
      <xdr:rowOff>209550</xdr:rowOff>
    </xdr:to>
    <xdr:sp macro="" textlink="">
      <xdr:nvSpPr>
        <xdr:cNvPr id="24" name="Flèche vers le bas 23">
          <a:extLst>
            <a:ext uri="{FF2B5EF4-FFF2-40B4-BE49-F238E27FC236}">
              <a16:creationId xmlns:a16="http://schemas.microsoft.com/office/drawing/2014/main" id="{00000000-0008-0000-0100-000018000000}"/>
            </a:ext>
          </a:extLst>
        </xdr:cNvPr>
        <xdr:cNvSpPr/>
      </xdr:nvSpPr>
      <xdr:spPr>
        <a:xfrm>
          <a:off x="6819900" y="4314825"/>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742950</xdr:colOff>
      <xdr:row>20</xdr:row>
      <xdr:rowOff>19050</xdr:rowOff>
    </xdr:from>
    <xdr:to>
      <xdr:col>7</xdr:col>
      <xdr:colOff>38100</xdr:colOff>
      <xdr:row>20</xdr:row>
      <xdr:rowOff>209550</xdr:rowOff>
    </xdr:to>
    <xdr:sp macro="" textlink="">
      <xdr:nvSpPr>
        <xdr:cNvPr id="25" name="Flèche vers le bas 24">
          <a:extLst>
            <a:ext uri="{FF2B5EF4-FFF2-40B4-BE49-F238E27FC236}">
              <a16:creationId xmlns:a16="http://schemas.microsoft.com/office/drawing/2014/main" id="{00000000-0008-0000-0100-000019000000}"/>
            </a:ext>
          </a:extLst>
        </xdr:cNvPr>
        <xdr:cNvSpPr/>
      </xdr:nvSpPr>
      <xdr:spPr>
        <a:xfrm>
          <a:off x="5314950" y="5057775"/>
          <a:ext cx="57150" cy="190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447675</xdr:colOff>
      <xdr:row>20</xdr:row>
      <xdr:rowOff>19049</xdr:rowOff>
    </xdr:from>
    <xdr:to>
      <xdr:col>8</xdr:col>
      <xdr:colOff>47625</xdr:colOff>
      <xdr:row>20</xdr:row>
      <xdr:rowOff>64768</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flipV="1">
          <a:off x="3495675" y="5057774"/>
          <a:ext cx="2647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0</xdr:col>
      <xdr:colOff>9525</xdr:colOff>
      <xdr:row>23</xdr:row>
      <xdr:rowOff>133347</xdr:rowOff>
    </xdr:from>
    <xdr:to>
      <xdr:col>14</xdr:col>
      <xdr:colOff>1114425</xdr:colOff>
      <xdr:row>23</xdr:row>
      <xdr:rowOff>179066</xdr:rowOff>
    </xdr:to>
    <xdr:sp macro="" textlink="">
      <xdr:nvSpPr>
        <xdr:cNvPr id="27" name="Rectangle 26">
          <a:extLst>
            <a:ext uri="{FF2B5EF4-FFF2-40B4-BE49-F238E27FC236}">
              <a16:creationId xmlns:a16="http://schemas.microsoft.com/office/drawing/2014/main" id="{00000000-0008-0000-0100-00001B000000}"/>
            </a:ext>
          </a:extLst>
        </xdr:cNvPr>
        <xdr:cNvSpPr/>
      </xdr:nvSpPr>
      <xdr:spPr>
        <a:xfrm flipV="1">
          <a:off x="9525" y="5857872"/>
          <a:ext cx="117729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180974</xdr:colOff>
      <xdr:row>35</xdr:row>
      <xdr:rowOff>19049</xdr:rowOff>
    </xdr:from>
    <xdr:to>
      <xdr:col>7</xdr:col>
      <xdr:colOff>323849</xdr:colOff>
      <xdr:row>35</xdr:row>
      <xdr:rowOff>161924</xdr:rowOff>
    </xdr:to>
    <xdr:sp macro="" textlink="">
      <xdr:nvSpPr>
        <xdr:cNvPr id="28" name="Multiplier 28">
          <a:extLst>
            <a:ext uri="{FF2B5EF4-FFF2-40B4-BE49-F238E27FC236}">
              <a16:creationId xmlns:a16="http://schemas.microsoft.com/office/drawing/2014/main" id="{00000000-0008-0000-0100-00001C000000}"/>
            </a:ext>
          </a:extLst>
        </xdr:cNvPr>
        <xdr:cNvSpPr/>
      </xdr:nvSpPr>
      <xdr:spPr>
        <a:xfrm>
          <a:off x="5514974" y="8353424"/>
          <a:ext cx="142875" cy="142875"/>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19050</xdr:colOff>
      <xdr:row>41</xdr:row>
      <xdr:rowOff>9525</xdr:rowOff>
    </xdr:from>
    <xdr:to>
      <xdr:col>6</xdr:col>
      <xdr:colOff>0</xdr:colOff>
      <xdr:row>41</xdr:row>
      <xdr:rowOff>55244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543050" y="9525000"/>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0</xdr:colOff>
      <xdr:row>48</xdr:row>
      <xdr:rowOff>0</xdr:rowOff>
    </xdr:from>
    <xdr:to>
      <xdr:col>5</xdr:col>
      <xdr:colOff>742950</xdr:colOff>
      <xdr:row>48</xdr:row>
      <xdr:rowOff>45719</xdr:rowOff>
    </xdr:to>
    <xdr:sp macro="" textlink="">
      <xdr:nvSpPr>
        <xdr:cNvPr id="30" name="Rectangle 29">
          <a:extLst>
            <a:ext uri="{FF2B5EF4-FFF2-40B4-BE49-F238E27FC236}">
              <a16:creationId xmlns:a16="http://schemas.microsoft.com/office/drawing/2014/main" id="{00000000-0008-0000-0100-00001E000000}"/>
            </a:ext>
          </a:extLst>
        </xdr:cNvPr>
        <xdr:cNvSpPr/>
      </xdr:nvSpPr>
      <xdr:spPr>
        <a:xfrm>
          <a:off x="1524000" y="10887075"/>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581025</xdr:colOff>
      <xdr:row>35</xdr:row>
      <xdr:rowOff>57149</xdr:rowOff>
    </xdr:from>
    <xdr:to>
      <xdr:col>1</xdr:col>
      <xdr:colOff>733423</xdr:colOff>
      <xdr:row>36</xdr:row>
      <xdr:rowOff>9523</xdr:rowOff>
    </xdr:to>
    <xdr:sp macro="" textlink="">
      <xdr:nvSpPr>
        <xdr:cNvPr id="31" name="Flèche à angle droit 32">
          <a:extLst>
            <a:ext uri="{FF2B5EF4-FFF2-40B4-BE49-F238E27FC236}">
              <a16:creationId xmlns:a16="http://schemas.microsoft.com/office/drawing/2014/main" id="{00000000-0008-0000-0100-00001F000000}"/>
            </a:ext>
          </a:extLst>
        </xdr:cNvPr>
        <xdr:cNvSpPr/>
      </xdr:nvSpPr>
      <xdr:spPr>
        <a:xfrm rot="10800000">
          <a:off x="1343025" y="8391524"/>
          <a:ext cx="152398" cy="161924"/>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590549</xdr:colOff>
      <xdr:row>37</xdr:row>
      <xdr:rowOff>171450</xdr:rowOff>
    </xdr:from>
    <xdr:to>
      <xdr:col>1</xdr:col>
      <xdr:colOff>736628</xdr:colOff>
      <xdr:row>38</xdr:row>
      <xdr:rowOff>133350</xdr:rowOff>
    </xdr:to>
    <xdr:sp macro="" textlink="">
      <xdr:nvSpPr>
        <xdr:cNvPr id="32" name="Flèche à angle droit 33">
          <a:extLst>
            <a:ext uri="{FF2B5EF4-FFF2-40B4-BE49-F238E27FC236}">
              <a16:creationId xmlns:a16="http://schemas.microsoft.com/office/drawing/2014/main" id="{00000000-0008-0000-0100-000020000000}"/>
            </a:ext>
          </a:extLst>
        </xdr:cNvPr>
        <xdr:cNvSpPr/>
      </xdr:nvSpPr>
      <xdr:spPr>
        <a:xfrm rot="5400000">
          <a:off x="1344626" y="8913798"/>
          <a:ext cx="161925" cy="1460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504825</xdr:colOff>
      <xdr:row>36</xdr:row>
      <xdr:rowOff>76200</xdr:rowOff>
    </xdr:from>
    <xdr:to>
      <xdr:col>1</xdr:col>
      <xdr:colOff>733425</xdr:colOff>
      <xdr:row>37</xdr:row>
      <xdr:rowOff>95250</xdr:rowOff>
    </xdr:to>
    <xdr:sp macro="" textlink="">
      <xdr:nvSpPr>
        <xdr:cNvPr id="33" name="Multiplier 34">
          <a:extLst>
            <a:ext uri="{FF2B5EF4-FFF2-40B4-BE49-F238E27FC236}">
              <a16:creationId xmlns:a16="http://schemas.microsoft.com/office/drawing/2014/main" id="{00000000-0008-0000-0100-000021000000}"/>
            </a:ext>
          </a:extLst>
        </xdr:cNvPr>
        <xdr:cNvSpPr/>
      </xdr:nvSpPr>
      <xdr:spPr>
        <a:xfrm>
          <a:off x="1266825" y="8620125"/>
          <a:ext cx="228600" cy="20955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581025</xdr:colOff>
      <xdr:row>42</xdr:row>
      <xdr:rowOff>76200</xdr:rowOff>
    </xdr:from>
    <xdr:to>
      <xdr:col>1</xdr:col>
      <xdr:colOff>733423</xdr:colOff>
      <xdr:row>43</xdr:row>
      <xdr:rowOff>28574</xdr:rowOff>
    </xdr:to>
    <xdr:sp macro="" textlink="">
      <xdr:nvSpPr>
        <xdr:cNvPr id="34" name="Flèche à angle droit 35">
          <a:extLst>
            <a:ext uri="{FF2B5EF4-FFF2-40B4-BE49-F238E27FC236}">
              <a16:creationId xmlns:a16="http://schemas.microsoft.com/office/drawing/2014/main" id="{00000000-0008-0000-0100-000022000000}"/>
            </a:ext>
          </a:extLst>
        </xdr:cNvPr>
        <xdr:cNvSpPr/>
      </xdr:nvSpPr>
      <xdr:spPr>
        <a:xfrm rot="10800000">
          <a:off x="1343025" y="9791700"/>
          <a:ext cx="152398" cy="15239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581024</xdr:colOff>
      <xdr:row>44</xdr:row>
      <xdr:rowOff>190501</xdr:rowOff>
    </xdr:from>
    <xdr:to>
      <xdr:col>1</xdr:col>
      <xdr:colOff>727103</xdr:colOff>
      <xdr:row>45</xdr:row>
      <xdr:rowOff>123825</xdr:rowOff>
    </xdr:to>
    <xdr:sp macro="" textlink="">
      <xdr:nvSpPr>
        <xdr:cNvPr id="35" name="Flèche à angle droit 36">
          <a:extLst>
            <a:ext uri="{FF2B5EF4-FFF2-40B4-BE49-F238E27FC236}">
              <a16:creationId xmlns:a16="http://schemas.microsoft.com/office/drawing/2014/main" id="{00000000-0008-0000-0100-000023000000}"/>
            </a:ext>
          </a:extLst>
        </xdr:cNvPr>
        <xdr:cNvSpPr/>
      </xdr:nvSpPr>
      <xdr:spPr>
        <a:xfrm rot="5400000">
          <a:off x="1349389" y="10290161"/>
          <a:ext cx="133349" cy="1460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485775</xdr:colOff>
      <xdr:row>43</xdr:row>
      <xdr:rowOff>76200</xdr:rowOff>
    </xdr:from>
    <xdr:to>
      <xdr:col>1</xdr:col>
      <xdr:colOff>714375</xdr:colOff>
      <xdr:row>44</xdr:row>
      <xdr:rowOff>95250</xdr:rowOff>
    </xdr:to>
    <xdr:sp macro="" textlink="">
      <xdr:nvSpPr>
        <xdr:cNvPr id="36" name="Multiplier 37">
          <a:extLst>
            <a:ext uri="{FF2B5EF4-FFF2-40B4-BE49-F238E27FC236}">
              <a16:creationId xmlns:a16="http://schemas.microsoft.com/office/drawing/2014/main" id="{00000000-0008-0000-0100-000024000000}"/>
            </a:ext>
          </a:extLst>
        </xdr:cNvPr>
        <xdr:cNvSpPr/>
      </xdr:nvSpPr>
      <xdr:spPr>
        <a:xfrm>
          <a:off x="1247775" y="9991725"/>
          <a:ext cx="228600" cy="20955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0</xdr:colOff>
      <xdr:row>55</xdr:row>
      <xdr:rowOff>0</xdr:rowOff>
    </xdr:from>
    <xdr:to>
      <xdr:col>5</xdr:col>
      <xdr:colOff>742950</xdr:colOff>
      <xdr:row>55</xdr:row>
      <xdr:rowOff>45719</xdr:rowOff>
    </xdr:to>
    <xdr:sp macro="" textlink="">
      <xdr:nvSpPr>
        <xdr:cNvPr id="37" name="Rectangle 36">
          <a:extLst>
            <a:ext uri="{FF2B5EF4-FFF2-40B4-BE49-F238E27FC236}">
              <a16:creationId xmlns:a16="http://schemas.microsoft.com/office/drawing/2014/main" id="{00000000-0008-0000-0100-000025000000}"/>
            </a:ext>
          </a:extLst>
        </xdr:cNvPr>
        <xdr:cNvSpPr/>
      </xdr:nvSpPr>
      <xdr:spPr>
        <a:xfrm>
          <a:off x="1524000" y="12277725"/>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0</xdr:colOff>
      <xdr:row>60</xdr:row>
      <xdr:rowOff>0</xdr:rowOff>
    </xdr:from>
    <xdr:to>
      <xdr:col>5</xdr:col>
      <xdr:colOff>742950</xdr:colOff>
      <xdr:row>60</xdr:row>
      <xdr:rowOff>45719</xdr:rowOff>
    </xdr:to>
    <xdr:sp macro="" textlink="">
      <xdr:nvSpPr>
        <xdr:cNvPr id="38" name="Rectangle 37">
          <a:extLst>
            <a:ext uri="{FF2B5EF4-FFF2-40B4-BE49-F238E27FC236}">
              <a16:creationId xmlns:a16="http://schemas.microsoft.com/office/drawing/2014/main" id="{00000000-0008-0000-0100-000026000000}"/>
            </a:ext>
          </a:extLst>
        </xdr:cNvPr>
        <xdr:cNvSpPr/>
      </xdr:nvSpPr>
      <xdr:spPr>
        <a:xfrm>
          <a:off x="1524000" y="13268325"/>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400050</xdr:colOff>
      <xdr:row>53</xdr:row>
      <xdr:rowOff>66675</xdr:rowOff>
    </xdr:from>
    <xdr:to>
      <xdr:col>1</xdr:col>
      <xdr:colOff>733423</xdr:colOff>
      <xdr:row>54</xdr:row>
      <xdr:rowOff>28574</xdr:rowOff>
    </xdr:to>
    <xdr:sp macro="" textlink="">
      <xdr:nvSpPr>
        <xdr:cNvPr id="39" name="Flèche à angle droit 40">
          <a:extLst>
            <a:ext uri="{FF2B5EF4-FFF2-40B4-BE49-F238E27FC236}">
              <a16:creationId xmlns:a16="http://schemas.microsoft.com/office/drawing/2014/main" id="{00000000-0008-0000-0100-000027000000}"/>
            </a:ext>
          </a:extLst>
        </xdr:cNvPr>
        <xdr:cNvSpPr/>
      </xdr:nvSpPr>
      <xdr:spPr>
        <a:xfrm rot="10800000">
          <a:off x="1162050" y="11944350"/>
          <a:ext cx="333373" cy="17144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428624</xdr:colOff>
      <xdr:row>56</xdr:row>
      <xdr:rowOff>1</xdr:rowOff>
    </xdr:from>
    <xdr:to>
      <xdr:col>1</xdr:col>
      <xdr:colOff>727103</xdr:colOff>
      <xdr:row>56</xdr:row>
      <xdr:rowOff>114301</xdr:rowOff>
    </xdr:to>
    <xdr:sp macro="" textlink="">
      <xdr:nvSpPr>
        <xdr:cNvPr id="40" name="Flèche à angle droit 41">
          <a:extLst>
            <a:ext uri="{FF2B5EF4-FFF2-40B4-BE49-F238E27FC236}">
              <a16:creationId xmlns:a16="http://schemas.microsoft.com/office/drawing/2014/main" id="{00000000-0008-0000-0100-000028000000}"/>
            </a:ext>
          </a:extLst>
        </xdr:cNvPr>
        <xdr:cNvSpPr/>
      </xdr:nvSpPr>
      <xdr:spPr>
        <a:xfrm rot="5400000">
          <a:off x="1282714" y="12385661"/>
          <a:ext cx="114300" cy="2984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200025</xdr:colOff>
      <xdr:row>54</xdr:row>
      <xdr:rowOff>85725</xdr:rowOff>
    </xdr:from>
    <xdr:to>
      <xdr:col>1</xdr:col>
      <xdr:colOff>428625</xdr:colOff>
      <xdr:row>55</xdr:row>
      <xdr:rowOff>104775</xdr:rowOff>
    </xdr:to>
    <xdr:sp macro="" textlink="">
      <xdr:nvSpPr>
        <xdr:cNvPr id="41" name="Multiplier 44">
          <a:extLst>
            <a:ext uri="{FF2B5EF4-FFF2-40B4-BE49-F238E27FC236}">
              <a16:creationId xmlns:a16="http://schemas.microsoft.com/office/drawing/2014/main" id="{00000000-0008-0000-0100-000029000000}"/>
            </a:ext>
          </a:extLst>
        </xdr:cNvPr>
        <xdr:cNvSpPr/>
      </xdr:nvSpPr>
      <xdr:spPr>
        <a:xfrm>
          <a:off x="962025" y="12172950"/>
          <a:ext cx="228600" cy="20955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466725</xdr:colOff>
      <xdr:row>54</xdr:row>
      <xdr:rowOff>85724</xdr:rowOff>
    </xdr:from>
    <xdr:to>
      <xdr:col>1</xdr:col>
      <xdr:colOff>714375</xdr:colOff>
      <xdr:row>55</xdr:row>
      <xdr:rowOff>95250</xdr:rowOff>
    </xdr:to>
    <xdr:sp macro="" textlink="">
      <xdr:nvSpPr>
        <xdr:cNvPr id="42" name="Division 45">
          <a:extLst>
            <a:ext uri="{FF2B5EF4-FFF2-40B4-BE49-F238E27FC236}">
              <a16:creationId xmlns:a16="http://schemas.microsoft.com/office/drawing/2014/main" id="{00000000-0008-0000-0100-00002A000000}"/>
            </a:ext>
          </a:extLst>
        </xdr:cNvPr>
        <xdr:cNvSpPr/>
      </xdr:nvSpPr>
      <xdr:spPr>
        <a:xfrm>
          <a:off x="1228725" y="12172949"/>
          <a:ext cx="247650" cy="200026"/>
        </a:xfrm>
        <a:prstGeom prst="mathDivid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438150</xdr:colOff>
      <xdr:row>58</xdr:row>
      <xdr:rowOff>9526</xdr:rowOff>
    </xdr:from>
    <xdr:to>
      <xdr:col>1</xdr:col>
      <xdr:colOff>736629</xdr:colOff>
      <xdr:row>58</xdr:row>
      <xdr:rowOff>123826</xdr:rowOff>
    </xdr:to>
    <xdr:sp macro="" textlink="">
      <xdr:nvSpPr>
        <xdr:cNvPr id="43" name="Flèche à angle droit 46">
          <a:extLst>
            <a:ext uri="{FF2B5EF4-FFF2-40B4-BE49-F238E27FC236}">
              <a16:creationId xmlns:a16="http://schemas.microsoft.com/office/drawing/2014/main" id="{00000000-0008-0000-0100-00002B000000}"/>
            </a:ext>
          </a:extLst>
        </xdr:cNvPr>
        <xdr:cNvSpPr/>
      </xdr:nvSpPr>
      <xdr:spPr>
        <a:xfrm rot="5400000">
          <a:off x="1292240" y="12795236"/>
          <a:ext cx="114300" cy="2984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400051</xdr:colOff>
      <xdr:row>56</xdr:row>
      <xdr:rowOff>123825</xdr:rowOff>
    </xdr:from>
    <xdr:to>
      <xdr:col>1</xdr:col>
      <xdr:colOff>476251</xdr:colOff>
      <xdr:row>56</xdr:row>
      <xdr:rowOff>190501</xdr:rowOff>
    </xdr:to>
    <xdr:sp macro="" textlink="">
      <xdr:nvSpPr>
        <xdr:cNvPr id="44" name="Flèche vers le bas 47">
          <a:extLst>
            <a:ext uri="{FF2B5EF4-FFF2-40B4-BE49-F238E27FC236}">
              <a16:creationId xmlns:a16="http://schemas.microsoft.com/office/drawing/2014/main" id="{00000000-0008-0000-0100-00002C000000}"/>
            </a:ext>
          </a:extLst>
        </xdr:cNvPr>
        <xdr:cNvSpPr/>
      </xdr:nvSpPr>
      <xdr:spPr>
        <a:xfrm>
          <a:off x="1162051" y="12601575"/>
          <a:ext cx="76200" cy="66676"/>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390526</xdr:colOff>
      <xdr:row>57</xdr:row>
      <xdr:rowOff>19050</xdr:rowOff>
    </xdr:from>
    <xdr:to>
      <xdr:col>1</xdr:col>
      <xdr:colOff>485776</xdr:colOff>
      <xdr:row>57</xdr:row>
      <xdr:rowOff>142874</xdr:rowOff>
    </xdr:to>
    <xdr:sp macro="" textlink="">
      <xdr:nvSpPr>
        <xdr:cNvPr id="45" name="Plus 48">
          <a:extLst>
            <a:ext uri="{FF2B5EF4-FFF2-40B4-BE49-F238E27FC236}">
              <a16:creationId xmlns:a16="http://schemas.microsoft.com/office/drawing/2014/main" id="{00000000-0008-0000-0100-00002D000000}"/>
            </a:ext>
          </a:extLst>
        </xdr:cNvPr>
        <xdr:cNvSpPr/>
      </xdr:nvSpPr>
      <xdr:spPr>
        <a:xfrm>
          <a:off x="1152526" y="12696825"/>
          <a:ext cx="95250" cy="123824"/>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19050</xdr:colOff>
      <xdr:row>35</xdr:row>
      <xdr:rowOff>47624</xdr:rowOff>
    </xdr:from>
    <xdr:to>
      <xdr:col>6</xdr:col>
      <xdr:colOff>752475</xdr:colOff>
      <xdr:row>35</xdr:row>
      <xdr:rowOff>142875</xdr:rowOff>
    </xdr:to>
    <xdr:sp macro="" textlink="">
      <xdr:nvSpPr>
        <xdr:cNvPr id="46" name="Flèche droite 49">
          <a:extLst>
            <a:ext uri="{FF2B5EF4-FFF2-40B4-BE49-F238E27FC236}">
              <a16:creationId xmlns:a16="http://schemas.microsoft.com/office/drawing/2014/main" id="{00000000-0008-0000-0100-00002E000000}"/>
            </a:ext>
          </a:extLst>
        </xdr:cNvPr>
        <xdr:cNvSpPr/>
      </xdr:nvSpPr>
      <xdr:spPr>
        <a:xfrm>
          <a:off x="4591050" y="8381999"/>
          <a:ext cx="733425" cy="952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19050</xdr:colOff>
      <xdr:row>38</xdr:row>
      <xdr:rowOff>66675</xdr:rowOff>
    </xdr:from>
    <xdr:to>
      <xdr:col>6</xdr:col>
      <xdr:colOff>752475</xdr:colOff>
      <xdr:row>38</xdr:row>
      <xdr:rowOff>161926</xdr:rowOff>
    </xdr:to>
    <xdr:sp macro="" textlink="">
      <xdr:nvSpPr>
        <xdr:cNvPr id="47" name="Flèche droite 50">
          <a:extLst>
            <a:ext uri="{FF2B5EF4-FFF2-40B4-BE49-F238E27FC236}">
              <a16:creationId xmlns:a16="http://schemas.microsoft.com/office/drawing/2014/main" id="{00000000-0008-0000-0100-00002F000000}"/>
            </a:ext>
          </a:extLst>
        </xdr:cNvPr>
        <xdr:cNvSpPr/>
      </xdr:nvSpPr>
      <xdr:spPr>
        <a:xfrm>
          <a:off x="4591050" y="9001125"/>
          <a:ext cx="733425" cy="952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9525</xdr:colOff>
      <xdr:row>45</xdr:row>
      <xdr:rowOff>47625</xdr:rowOff>
    </xdr:from>
    <xdr:to>
      <xdr:col>6</xdr:col>
      <xdr:colOff>742950</xdr:colOff>
      <xdr:row>45</xdr:row>
      <xdr:rowOff>142876</xdr:rowOff>
    </xdr:to>
    <xdr:sp macro="" textlink="">
      <xdr:nvSpPr>
        <xdr:cNvPr id="48" name="Flèche droite 51">
          <a:extLst>
            <a:ext uri="{FF2B5EF4-FFF2-40B4-BE49-F238E27FC236}">
              <a16:creationId xmlns:a16="http://schemas.microsoft.com/office/drawing/2014/main" id="{00000000-0008-0000-0100-000030000000}"/>
            </a:ext>
          </a:extLst>
        </xdr:cNvPr>
        <xdr:cNvSpPr/>
      </xdr:nvSpPr>
      <xdr:spPr>
        <a:xfrm>
          <a:off x="4581525" y="10353675"/>
          <a:ext cx="733425" cy="952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9525</xdr:colOff>
      <xdr:row>53</xdr:row>
      <xdr:rowOff>57150</xdr:rowOff>
    </xdr:from>
    <xdr:to>
      <xdr:col>6</xdr:col>
      <xdr:colOff>742950</xdr:colOff>
      <xdr:row>53</xdr:row>
      <xdr:rowOff>152401</xdr:rowOff>
    </xdr:to>
    <xdr:sp macro="" textlink="">
      <xdr:nvSpPr>
        <xdr:cNvPr id="49" name="Flèche droite 52">
          <a:extLst>
            <a:ext uri="{FF2B5EF4-FFF2-40B4-BE49-F238E27FC236}">
              <a16:creationId xmlns:a16="http://schemas.microsoft.com/office/drawing/2014/main" id="{00000000-0008-0000-0100-000031000000}"/>
            </a:ext>
          </a:extLst>
        </xdr:cNvPr>
        <xdr:cNvSpPr/>
      </xdr:nvSpPr>
      <xdr:spPr>
        <a:xfrm>
          <a:off x="4581525" y="11934825"/>
          <a:ext cx="733425" cy="9525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0</xdr:colOff>
      <xdr:row>74</xdr:row>
      <xdr:rowOff>0</xdr:rowOff>
    </xdr:from>
    <xdr:to>
      <xdr:col>5</xdr:col>
      <xdr:colOff>742950</xdr:colOff>
      <xdr:row>74</xdr:row>
      <xdr:rowOff>45719</xdr:rowOff>
    </xdr:to>
    <xdr:sp macro="" textlink="">
      <xdr:nvSpPr>
        <xdr:cNvPr id="50" name="Rectangle 49">
          <a:extLst>
            <a:ext uri="{FF2B5EF4-FFF2-40B4-BE49-F238E27FC236}">
              <a16:creationId xmlns:a16="http://schemas.microsoft.com/office/drawing/2014/main" id="{00000000-0008-0000-0100-000032000000}"/>
            </a:ext>
          </a:extLst>
        </xdr:cNvPr>
        <xdr:cNvSpPr/>
      </xdr:nvSpPr>
      <xdr:spPr>
        <a:xfrm>
          <a:off x="1524000" y="16030575"/>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9524</xdr:colOff>
      <xdr:row>49</xdr:row>
      <xdr:rowOff>76200</xdr:rowOff>
    </xdr:from>
    <xdr:to>
      <xdr:col>11</xdr:col>
      <xdr:colOff>742950</xdr:colOff>
      <xdr:row>49</xdr:row>
      <xdr:rowOff>121919</xdr:rowOff>
    </xdr:to>
    <xdr:sp macro="" textlink="">
      <xdr:nvSpPr>
        <xdr:cNvPr id="51" name="Organigramme : Processus 55">
          <a:extLst>
            <a:ext uri="{FF2B5EF4-FFF2-40B4-BE49-F238E27FC236}">
              <a16:creationId xmlns:a16="http://schemas.microsoft.com/office/drawing/2014/main" id="{00000000-0008-0000-0100-000033000000}"/>
            </a:ext>
          </a:extLst>
        </xdr:cNvPr>
        <xdr:cNvSpPr/>
      </xdr:nvSpPr>
      <xdr:spPr>
        <a:xfrm>
          <a:off x="4581524" y="11163300"/>
          <a:ext cx="4543426" cy="45719"/>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1</xdr:colOff>
      <xdr:row>61</xdr:row>
      <xdr:rowOff>76200</xdr:rowOff>
    </xdr:from>
    <xdr:to>
      <xdr:col>10</xdr:col>
      <xdr:colOff>742951</xdr:colOff>
      <xdr:row>61</xdr:row>
      <xdr:rowOff>123825</xdr:rowOff>
    </xdr:to>
    <xdr:sp macro="" textlink="">
      <xdr:nvSpPr>
        <xdr:cNvPr id="52" name="Organigramme : Processus 56">
          <a:extLst>
            <a:ext uri="{FF2B5EF4-FFF2-40B4-BE49-F238E27FC236}">
              <a16:creationId xmlns:a16="http://schemas.microsoft.com/office/drawing/2014/main" id="{00000000-0008-0000-0100-000034000000}"/>
            </a:ext>
          </a:extLst>
        </xdr:cNvPr>
        <xdr:cNvSpPr/>
      </xdr:nvSpPr>
      <xdr:spPr>
        <a:xfrm>
          <a:off x="4572001" y="13544550"/>
          <a:ext cx="3790950" cy="47625"/>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0</xdr:colOff>
      <xdr:row>75</xdr:row>
      <xdr:rowOff>66675</xdr:rowOff>
    </xdr:from>
    <xdr:to>
      <xdr:col>9</xdr:col>
      <xdr:colOff>752475</xdr:colOff>
      <xdr:row>75</xdr:row>
      <xdr:rowOff>112394</xdr:rowOff>
    </xdr:to>
    <xdr:sp macro="" textlink="">
      <xdr:nvSpPr>
        <xdr:cNvPr id="53" name="Organigramme : Processus 57">
          <a:extLst>
            <a:ext uri="{FF2B5EF4-FFF2-40B4-BE49-F238E27FC236}">
              <a16:creationId xmlns:a16="http://schemas.microsoft.com/office/drawing/2014/main" id="{00000000-0008-0000-0100-000035000000}"/>
            </a:ext>
          </a:extLst>
        </xdr:cNvPr>
        <xdr:cNvSpPr/>
      </xdr:nvSpPr>
      <xdr:spPr>
        <a:xfrm>
          <a:off x="4572000" y="16297275"/>
          <a:ext cx="3038475" cy="45719"/>
        </a:xfrm>
        <a:prstGeom prst="flowChartProces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11</xdr:col>
      <xdr:colOff>714374</xdr:colOff>
      <xdr:row>49</xdr:row>
      <xdr:rowOff>76202</xdr:rowOff>
    </xdr:from>
    <xdr:to>
      <xdr:col>12</xdr:col>
      <xdr:colOff>95250</xdr:colOff>
      <xdr:row>76</xdr:row>
      <xdr:rowOff>180974</xdr:rowOff>
    </xdr:to>
    <xdr:sp macro="" textlink="">
      <xdr:nvSpPr>
        <xdr:cNvPr id="54" name="Virage 58">
          <a:extLst>
            <a:ext uri="{FF2B5EF4-FFF2-40B4-BE49-F238E27FC236}">
              <a16:creationId xmlns:a16="http://schemas.microsoft.com/office/drawing/2014/main" id="{00000000-0008-0000-0100-000036000000}"/>
            </a:ext>
          </a:extLst>
        </xdr:cNvPr>
        <xdr:cNvSpPr/>
      </xdr:nvSpPr>
      <xdr:spPr>
        <a:xfrm rot="5400000">
          <a:off x="6438901" y="13820775"/>
          <a:ext cx="5457822" cy="142876"/>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solidFill>
              <a:schemeClr val="tx1"/>
            </a:solidFill>
          </a:endParaRPr>
        </a:p>
      </xdr:txBody>
    </xdr:sp>
    <xdr:clientData/>
  </xdr:twoCellAnchor>
  <xdr:twoCellAnchor>
    <xdr:from>
      <xdr:col>10</xdr:col>
      <xdr:colOff>723899</xdr:colOff>
      <xdr:row>61</xdr:row>
      <xdr:rowOff>85729</xdr:rowOff>
    </xdr:from>
    <xdr:to>
      <xdr:col>11</xdr:col>
      <xdr:colOff>104774</xdr:colOff>
      <xdr:row>76</xdr:row>
      <xdr:rowOff>180975</xdr:rowOff>
    </xdr:to>
    <xdr:sp macro="" textlink="">
      <xdr:nvSpPr>
        <xdr:cNvPr id="55" name="Virage 59">
          <a:extLst>
            <a:ext uri="{FF2B5EF4-FFF2-40B4-BE49-F238E27FC236}">
              <a16:creationId xmlns:a16="http://schemas.microsoft.com/office/drawing/2014/main" id="{00000000-0008-0000-0100-000037000000}"/>
            </a:ext>
          </a:extLst>
        </xdr:cNvPr>
        <xdr:cNvSpPr/>
      </xdr:nvSpPr>
      <xdr:spPr>
        <a:xfrm rot="5400000">
          <a:off x="6881814" y="15016164"/>
          <a:ext cx="3067046" cy="142875"/>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solidFill>
              <a:schemeClr val="tx1"/>
            </a:solidFill>
          </a:endParaRPr>
        </a:p>
      </xdr:txBody>
    </xdr:sp>
    <xdr:clientData/>
  </xdr:twoCellAnchor>
  <xdr:twoCellAnchor>
    <xdr:from>
      <xdr:col>9</xdr:col>
      <xdr:colOff>714375</xdr:colOff>
      <xdr:row>75</xdr:row>
      <xdr:rowOff>76203</xdr:rowOff>
    </xdr:from>
    <xdr:to>
      <xdr:col>10</xdr:col>
      <xdr:colOff>104775</xdr:colOff>
      <xdr:row>76</xdr:row>
      <xdr:rowOff>171454</xdr:rowOff>
    </xdr:to>
    <xdr:sp macro="" textlink="">
      <xdr:nvSpPr>
        <xdr:cNvPr id="56" name="Virage 60">
          <a:extLst>
            <a:ext uri="{FF2B5EF4-FFF2-40B4-BE49-F238E27FC236}">
              <a16:creationId xmlns:a16="http://schemas.microsoft.com/office/drawing/2014/main" id="{00000000-0008-0000-0100-000038000000}"/>
            </a:ext>
          </a:extLst>
        </xdr:cNvPr>
        <xdr:cNvSpPr/>
      </xdr:nvSpPr>
      <xdr:spPr>
        <a:xfrm rot="5400000">
          <a:off x="7496174" y="16383004"/>
          <a:ext cx="304801" cy="152400"/>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solidFill>
              <a:schemeClr val="tx1"/>
            </a:solidFill>
          </a:endParaRPr>
        </a:p>
      </xdr:txBody>
    </xdr:sp>
    <xdr:clientData/>
  </xdr:twoCellAnchor>
  <xdr:twoCellAnchor>
    <xdr:from>
      <xdr:col>8</xdr:col>
      <xdr:colOff>581025</xdr:colOff>
      <xdr:row>77</xdr:row>
      <xdr:rowOff>76200</xdr:rowOff>
    </xdr:from>
    <xdr:to>
      <xdr:col>8</xdr:col>
      <xdr:colOff>733423</xdr:colOff>
      <xdr:row>78</xdr:row>
      <xdr:rowOff>28574</xdr:rowOff>
    </xdr:to>
    <xdr:sp macro="" textlink="">
      <xdr:nvSpPr>
        <xdr:cNvPr id="57" name="Flèche à angle droit 61">
          <a:extLst>
            <a:ext uri="{FF2B5EF4-FFF2-40B4-BE49-F238E27FC236}">
              <a16:creationId xmlns:a16="http://schemas.microsoft.com/office/drawing/2014/main" id="{00000000-0008-0000-0100-000039000000}"/>
            </a:ext>
          </a:extLst>
        </xdr:cNvPr>
        <xdr:cNvSpPr/>
      </xdr:nvSpPr>
      <xdr:spPr>
        <a:xfrm rot="10800000">
          <a:off x="6677025" y="16716375"/>
          <a:ext cx="152398" cy="161924"/>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581025</xdr:colOff>
      <xdr:row>80</xdr:row>
      <xdr:rowOff>9525</xdr:rowOff>
    </xdr:from>
    <xdr:to>
      <xdr:col>8</xdr:col>
      <xdr:colOff>727104</xdr:colOff>
      <xdr:row>80</xdr:row>
      <xdr:rowOff>142874</xdr:rowOff>
    </xdr:to>
    <xdr:sp macro="" textlink="">
      <xdr:nvSpPr>
        <xdr:cNvPr id="58" name="Flèche à angle droit 62">
          <a:extLst>
            <a:ext uri="{FF2B5EF4-FFF2-40B4-BE49-F238E27FC236}">
              <a16:creationId xmlns:a16="http://schemas.microsoft.com/office/drawing/2014/main" id="{00000000-0008-0000-0100-00003A000000}"/>
            </a:ext>
          </a:extLst>
        </xdr:cNvPr>
        <xdr:cNvSpPr/>
      </xdr:nvSpPr>
      <xdr:spPr>
        <a:xfrm rot="5400000">
          <a:off x="6683390" y="17243410"/>
          <a:ext cx="133349" cy="1460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476250</xdr:colOff>
      <xdr:row>78</xdr:row>
      <xdr:rowOff>104775</xdr:rowOff>
    </xdr:from>
    <xdr:to>
      <xdr:col>8</xdr:col>
      <xdr:colOff>704850</xdr:colOff>
      <xdr:row>79</xdr:row>
      <xdr:rowOff>123825</xdr:rowOff>
    </xdr:to>
    <xdr:sp macro="" textlink="">
      <xdr:nvSpPr>
        <xdr:cNvPr id="59" name="Multiplier 63">
          <a:extLst>
            <a:ext uri="{FF2B5EF4-FFF2-40B4-BE49-F238E27FC236}">
              <a16:creationId xmlns:a16="http://schemas.microsoft.com/office/drawing/2014/main" id="{00000000-0008-0000-0100-00003B000000}"/>
            </a:ext>
          </a:extLst>
        </xdr:cNvPr>
        <xdr:cNvSpPr/>
      </xdr:nvSpPr>
      <xdr:spPr>
        <a:xfrm>
          <a:off x="6572250" y="16954500"/>
          <a:ext cx="228600" cy="20955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9</xdr:col>
      <xdr:colOff>0</xdr:colOff>
      <xdr:row>82</xdr:row>
      <xdr:rowOff>0</xdr:rowOff>
    </xdr:from>
    <xdr:to>
      <xdr:col>12</xdr:col>
      <xdr:colOff>742950</xdr:colOff>
      <xdr:row>82</xdr:row>
      <xdr:rowOff>45719</xdr:rowOff>
    </xdr:to>
    <xdr:sp macro="" textlink="">
      <xdr:nvSpPr>
        <xdr:cNvPr id="60" name="Rectangle 59">
          <a:extLst>
            <a:ext uri="{FF2B5EF4-FFF2-40B4-BE49-F238E27FC236}">
              <a16:creationId xmlns:a16="http://schemas.microsoft.com/office/drawing/2014/main" id="{00000000-0008-0000-0100-00003C000000}"/>
            </a:ext>
          </a:extLst>
        </xdr:cNvPr>
        <xdr:cNvSpPr/>
      </xdr:nvSpPr>
      <xdr:spPr>
        <a:xfrm>
          <a:off x="6858000" y="17630775"/>
          <a:ext cx="302895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295275</xdr:colOff>
      <xdr:row>83</xdr:row>
      <xdr:rowOff>38100</xdr:rowOff>
    </xdr:from>
    <xdr:to>
      <xdr:col>7</xdr:col>
      <xdr:colOff>390525</xdr:colOff>
      <xdr:row>83</xdr:row>
      <xdr:rowOff>161924</xdr:rowOff>
    </xdr:to>
    <xdr:sp macro="" textlink="">
      <xdr:nvSpPr>
        <xdr:cNvPr id="61" name="Plus 65">
          <a:extLst>
            <a:ext uri="{FF2B5EF4-FFF2-40B4-BE49-F238E27FC236}">
              <a16:creationId xmlns:a16="http://schemas.microsoft.com/office/drawing/2014/main" id="{00000000-0008-0000-0100-00003D000000}"/>
            </a:ext>
          </a:extLst>
        </xdr:cNvPr>
        <xdr:cNvSpPr/>
      </xdr:nvSpPr>
      <xdr:spPr>
        <a:xfrm>
          <a:off x="5629275" y="17868900"/>
          <a:ext cx="95250" cy="123824"/>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447675</xdr:colOff>
      <xdr:row>83</xdr:row>
      <xdr:rowOff>47624</xdr:rowOff>
    </xdr:from>
    <xdr:to>
      <xdr:col>8</xdr:col>
      <xdr:colOff>752475</xdr:colOff>
      <xdr:row>83</xdr:row>
      <xdr:rowOff>152399</xdr:rowOff>
    </xdr:to>
    <xdr:sp macro="" textlink="">
      <xdr:nvSpPr>
        <xdr:cNvPr id="62" name="Flèche droite 66">
          <a:extLst>
            <a:ext uri="{FF2B5EF4-FFF2-40B4-BE49-F238E27FC236}">
              <a16:creationId xmlns:a16="http://schemas.microsoft.com/office/drawing/2014/main" id="{00000000-0008-0000-0100-00003E000000}"/>
            </a:ext>
          </a:extLst>
        </xdr:cNvPr>
        <xdr:cNvSpPr/>
      </xdr:nvSpPr>
      <xdr:spPr>
        <a:xfrm rot="10800000">
          <a:off x="5781675" y="17878424"/>
          <a:ext cx="1066800" cy="1047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761999</xdr:colOff>
      <xdr:row>83</xdr:row>
      <xdr:rowOff>57150</xdr:rowOff>
    </xdr:from>
    <xdr:to>
      <xdr:col>7</xdr:col>
      <xdr:colOff>200024</xdr:colOff>
      <xdr:row>83</xdr:row>
      <xdr:rowOff>152400</xdr:rowOff>
    </xdr:to>
    <xdr:sp macro="" textlink="">
      <xdr:nvSpPr>
        <xdr:cNvPr id="63" name="Flèche droite 67">
          <a:extLst>
            <a:ext uri="{FF2B5EF4-FFF2-40B4-BE49-F238E27FC236}">
              <a16:creationId xmlns:a16="http://schemas.microsoft.com/office/drawing/2014/main" id="{00000000-0008-0000-0100-00003F000000}"/>
            </a:ext>
          </a:extLst>
        </xdr:cNvPr>
        <xdr:cNvSpPr/>
      </xdr:nvSpPr>
      <xdr:spPr>
        <a:xfrm rot="10800000">
          <a:off x="4571999" y="17887950"/>
          <a:ext cx="962025" cy="952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581025</xdr:colOff>
      <xdr:row>83</xdr:row>
      <xdr:rowOff>76200</xdr:rowOff>
    </xdr:from>
    <xdr:to>
      <xdr:col>1</xdr:col>
      <xdr:colOff>733423</xdr:colOff>
      <xdr:row>84</xdr:row>
      <xdr:rowOff>28574</xdr:rowOff>
    </xdr:to>
    <xdr:sp macro="" textlink="">
      <xdr:nvSpPr>
        <xdr:cNvPr id="64" name="Flèche à angle droit 68">
          <a:extLst>
            <a:ext uri="{FF2B5EF4-FFF2-40B4-BE49-F238E27FC236}">
              <a16:creationId xmlns:a16="http://schemas.microsoft.com/office/drawing/2014/main" id="{00000000-0008-0000-0100-000040000000}"/>
            </a:ext>
          </a:extLst>
        </xdr:cNvPr>
        <xdr:cNvSpPr/>
      </xdr:nvSpPr>
      <xdr:spPr>
        <a:xfrm rot="10800000">
          <a:off x="1343025" y="17907000"/>
          <a:ext cx="152398" cy="161924"/>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581025</xdr:colOff>
      <xdr:row>86</xdr:row>
      <xdr:rowOff>9525</xdr:rowOff>
    </xdr:from>
    <xdr:to>
      <xdr:col>1</xdr:col>
      <xdr:colOff>727104</xdr:colOff>
      <xdr:row>86</xdr:row>
      <xdr:rowOff>142874</xdr:rowOff>
    </xdr:to>
    <xdr:sp macro="" textlink="">
      <xdr:nvSpPr>
        <xdr:cNvPr id="65" name="Flèche à angle droit 69">
          <a:extLst>
            <a:ext uri="{FF2B5EF4-FFF2-40B4-BE49-F238E27FC236}">
              <a16:creationId xmlns:a16="http://schemas.microsoft.com/office/drawing/2014/main" id="{00000000-0008-0000-0100-000041000000}"/>
            </a:ext>
          </a:extLst>
        </xdr:cNvPr>
        <xdr:cNvSpPr/>
      </xdr:nvSpPr>
      <xdr:spPr>
        <a:xfrm rot="5400000">
          <a:off x="1349390" y="18434035"/>
          <a:ext cx="133349" cy="146079"/>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xdr:col>
      <xdr:colOff>476250</xdr:colOff>
      <xdr:row>84</xdr:row>
      <xdr:rowOff>114300</xdr:rowOff>
    </xdr:from>
    <xdr:to>
      <xdr:col>1</xdr:col>
      <xdr:colOff>723900</xdr:colOff>
      <xdr:row>85</xdr:row>
      <xdr:rowOff>123826</xdr:rowOff>
    </xdr:to>
    <xdr:sp macro="" textlink="">
      <xdr:nvSpPr>
        <xdr:cNvPr id="66" name="Division 70">
          <a:extLst>
            <a:ext uri="{FF2B5EF4-FFF2-40B4-BE49-F238E27FC236}">
              <a16:creationId xmlns:a16="http://schemas.microsoft.com/office/drawing/2014/main" id="{00000000-0008-0000-0100-000042000000}"/>
            </a:ext>
          </a:extLst>
        </xdr:cNvPr>
        <xdr:cNvSpPr/>
      </xdr:nvSpPr>
      <xdr:spPr>
        <a:xfrm>
          <a:off x="1238250" y="18154650"/>
          <a:ext cx="247650" cy="200026"/>
        </a:xfrm>
        <a:prstGeom prst="mathDivid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5</xdr:col>
      <xdr:colOff>761999</xdr:colOff>
      <xdr:row>86</xdr:row>
      <xdr:rowOff>9528</xdr:rowOff>
    </xdr:from>
    <xdr:to>
      <xdr:col>7</xdr:col>
      <xdr:colOff>161924</xdr:colOff>
      <xdr:row>89</xdr:row>
      <xdr:rowOff>1</xdr:rowOff>
    </xdr:to>
    <xdr:sp macro="" textlink="">
      <xdr:nvSpPr>
        <xdr:cNvPr id="67" name="Virage 71">
          <a:extLst>
            <a:ext uri="{FF2B5EF4-FFF2-40B4-BE49-F238E27FC236}">
              <a16:creationId xmlns:a16="http://schemas.microsoft.com/office/drawing/2014/main" id="{00000000-0008-0000-0100-000043000000}"/>
            </a:ext>
          </a:extLst>
        </xdr:cNvPr>
        <xdr:cNvSpPr/>
      </xdr:nvSpPr>
      <xdr:spPr>
        <a:xfrm rot="5400000">
          <a:off x="4743450" y="18268952"/>
          <a:ext cx="581023" cy="923925"/>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solidFill>
              <a:schemeClr val="tx1"/>
            </a:solidFill>
          </a:endParaRPr>
        </a:p>
      </xdr:txBody>
    </xdr:sp>
    <xdr:clientData/>
  </xdr:twoCellAnchor>
  <xdr:twoCellAnchor>
    <xdr:from>
      <xdr:col>0</xdr:col>
      <xdr:colOff>0</xdr:colOff>
      <xdr:row>91</xdr:row>
      <xdr:rowOff>190499</xdr:rowOff>
    </xdr:from>
    <xdr:to>
      <xdr:col>15</xdr:col>
      <xdr:colOff>0</xdr:colOff>
      <xdr:row>92</xdr:row>
      <xdr:rowOff>45718</xdr:rowOff>
    </xdr:to>
    <xdr:sp macro="" textlink="">
      <xdr:nvSpPr>
        <xdr:cNvPr id="68" name="Rectangle 67">
          <a:extLst>
            <a:ext uri="{FF2B5EF4-FFF2-40B4-BE49-F238E27FC236}">
              <a16:creationId xmlns:a16="http://schemas.microsoft.com/office/drawing/2014/main" id="{00000000-0008-0000-0100-000044000000}"/>
            </a:ext>
          </a:extLst>
        </xdr:cNvPr>
        <xdr:cNvSpPr/>
      </xdr:nvSpPr>
      <xdr:spPr>
        <a:xfrm flipV="1">
          <a:off x="0" y="19611974"/>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333375</xdr:colOff>
      <xdr:row>53</xdr:row>
      <xdr:rowOff>28575</xdr:rowOff>
    </xdr:from>
    <xdr:to>
      <xdr:col>8</xdr:col>
      <xdr:colOff>428625</xdr:colOff>
      <xdr:row>53</xdr:row>
      <xdr:rowOff>152399</xdr:rowOff>
    </xdr:to>
    <xdr:sp macro="" textlink="">
      <xdr:nvSpPr>
        <xdr:cNvPr id="69" name="Plus 74">
          <a:extLst>
            <a:ext uri="{FF2B5EF4-FFF2-40B4-BE49-F238E27FC236}">
              <a16:creationId xmlns:a16="http://schemas.microsoft.com/office/drawing/2014/main" id="{00000000-0008-0000-0100-000045000000}"/>
            </a:ext>
          </a:extLst>
        </xdr:cNvPr>
        <xdr:cNvSpPr/>
      </xdr:nvSpPr>
      <xdr:spPr>
        <a:xfrm>
          <a:off x="6429375" y="11906250"/>
          <a:ext cx="95250" cy="123824"/>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10</xdr:col>
      <xdr:colOff>304800</xdr:colOff>
      <xdr:row>53</xdr:row>
      <xdr:rowOff>38100</xdr:rowOff>
    </xdr:from>
    <xdr:to>
      <xdr:col>10</xdr:col>
      <xdr:colOff>400050</xdr:colOff>
      <xdr:row>53</xdr:row>
      <xdr:rowOff>161924</xdr:rowOff>
    </xdr:to>
    <xdr:sp macro="" textlink="">
      <xdr:nvSpPr>
        <xdr:cNvPr id="70" name="Plus 75">
          <a:extLst>
            <a:ext uri="{FF2B5EF4-FFF2-40B4-BE49-F238E27FC236}">
              <a16:creationId xmlns:a16="http://schemas.microsoft.com/office/drawing/2014/main" id="{00000000-0008-0000-0100-000046000000}"/>
            </a:ext>
          </a:extLst>
        </xdr:cNvPr>
        <xdr:cNvSpPr/>
      </xdr:nvSpPr>
      <xdr:spPr>
        <a:xfrm>
          <a:off x="7924800" y="11915775"/>
          <a:ext cx="95250" cy="123824"/>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11</xdr:col>
      <xdr:colOff>228600</xdr:colOff>
      <xdr:row>98</xdr:row>
      <xdr:rowOff>190500</xdr:rowOff>
    </xdr:from>
    <xdr:to>
      <xdr:col>12</xdr:col>
      <xdr:colOff>638175</xdr:colOff>
      <xdr:row>98</xdr:row>
      <xdr:rowOff>190501</xdr:rowOff>
    </xdr:to>
    <xdr:cxnSp macro="">
      <xdr:nvCxnSpPr>
        <xdr:cNvPr id="71" name="Connecteur droit 70">
          <a:extLst>
            <a:ext uri="{FF2B5EF4-FFF2-40B4-BE49-F238E27FC236}">
              <a16:creationId xmlns:a16="http://schemas.microsoft.com/office/drawing/2014/main" id="{00000000-0008-0000-0100-000047000000}"/>
            </a:ext>
          </a:extLst>
        </xdr:cNvPr>
        <xdr:cNvCxnSpPr/>
      </xdr:nvCxnSpPr>
      <xdr:spPr>
        <a:xfrm flipV="1">
          <a:off x="8610600" y="21031200"/>
          <a:ext cx="1171575" cy="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9524</xdr:colOff>
      <xdr:row>98</xdr:row>
      <xdr:rowOff>151254</xdr:rowOff>
    </xdr:from>
    <xdr:to>
      <xdr:col>6</xdr:col>
      <xdr:colOff>742950</xdr:colOff>
      <xdr:row>98</xdr:row>
      <xdr:rowOff>196973</xdr:rowOff>
    </xdr:to>
    <xdr:sp macro="" textlink="">
      <xdr:nvSpPr>
        <xdr:cNvPr id="72" name="Flèche droite 79">
          <a:extLst>
            <a:ext uri="{FF2B5EF4-FFF2-40B4-BE49-F238E27FC236}">
              <a16:creationId xmlns:a16="http://schemas.microsoft.com/office/drawing/2014/main" id="{00000000-0008-0000-0100-000048000000}"/>
            </a:ext>
          </a:extLst>
        </xdr:cNvPr>
        <xdr:cNvSpPr/>
      </xdr:nvSpPr>
      <xdr:spPr>
        <a:xfrm flipV="1">
          <a:off x="4581524" y="20991954"/>
          <a:ext cx="733426" cy="45719"/>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28575</xdr:colOff>
      <xdr:row>107</xdr:row>
      <xdr:rowOff>38099</xdr:rowOff>
    </xdr:from>
    <xdr:to>
      <xdr:col>6</xdr:col>
      <xdr:colOff>571500</xdr:colOff>
      <xdr:row>112</xdr:row>
      <xdr:rowOff>171450</xdr:rowOff>
    </xdr:to>
    <xdr:sp macro="" textlink="">
      <xdr:nvSpPr>
        <xdr:cNvPr id="73" name="Accolade fermante 72">
          <a:extLst>
            <a:ext uri="{FF2B5EF4-FFF2-40B4-BE49-F238E27FC236}">
              <a16:creationId xmlns:a16="http://schemas.microsoft.com/office/drawing/2014/main" id="{00000000-0008-0000-0100-000049000000}"/>
            </a:ext>
          </a:extLst>
        </xdr:cNvPr>
        <xdr:cNvSpPr/>
      </xdr:nvSpPr>
      <xdr:spPr>
        <a:xfrm>
          <a:off x="4600575" y="22688549"/>
          <a:ext cx="542925" cy="113347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0</xdr:col>
      <xdr:colOff>0</xdr:colOff>
      <xdr:row>114</xdr:row>
      <xdr:rowOff>114300</xdr:rowOff>
    </xdr:from>
    <xdr:to>
      <xdr:col>15</xdr:col>
      <xdr:colOff>0</xdr:colOff>
      <xdr:row>114</xdr:row>
      <xdr:rowOff>169544</xdr:rowOff>
    </xdr:to>
    <xdr:sp macro="" textlink="">
      <xdr:nvSpPr>
        <xdr:cNvPr id="74" name="Rectangle 73">
          <a:extLst>
            <a:ext uri="{FF2B5EF4-FFF2-40B4-BE49-F238E27FC236}">
              <a16:creationId xmlns:a16="http://schemas.microsoft.com/office/drawing/2014/main" id="{00000000-0008-0000-0100-00004A000000}"/>
            </a:ext>
          </a:extLst>
        </xdr:cNvPr>
        <xdr:cNvSpPr/>
      </xdr:nvSpPr>
      <xdr:spPr>
        <a:xfrm flipV="1">
          <a:off x="0" y="24155400"/>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742951</xdr:colOff>
      <xdr:row>129</xdr:row>
      <xdr:rowOff>9525</xdr:rowOff>
    </xdr:from>
    <xdr:to>
      <xdr:col>10</xdr:col>
      <xdr:colOff>428625</xdr:colOff>
      <xdr:row>149</xdr:row>
      <xdr:rowOff>0</xdr:rowOff>
    </xdr:to>
    <xdr:sp macro="" textlink="">
      <xdr:nvSpPr>
        <xdr:cNvPr id="75" name="Accolade fermante 74">
          <a:extLst>
            <a:ext uri="{FF2B5EF4-FFF2-40B4-BE49-F238E27FC236}">
              <a16:creationId xmlns:a16="http://schemas.microsoft.com/office/drawing/2014/main" id="{00000000-0008-0000-0100-00004B000000}"/>
            </a:ext>
          </a:extLst>
        </xdr:cNvPr>
        <xdr:cNvSpPr/>
      </xdr:nvSpPr>
      <xdr:spPr>
        <a:xfrm>
          <a:off x="6076951" y="27070050"/>
          <a:ext cx="1971674" cy="3943350"/>
        </a:xfrm>
        <a:prstGeom prst="rightBrace">
          <a:avLst>
            <a:gd name="adj1" fmla="val 8333"/>
            <a:gd name="adj2" fmla="val 50255"/>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0</xdr:col>
      <xdr:colOff>0</xdr:colOff>
      <xdr:row>150</xdr:row>
      <xdr:rowOff>0</xdr:rowOff>
    </xdr:from>
    <xdr:to>
      <xdr:col>15</xdr:col>
      <xdr:colOff>0</xdr:colOff>
      <xdr:row>150</xdr:row>
      <xdr:rowOff>55244</xdr:rowOff>
    </xdr:to>
    <xdr:sp macro="" textlink="">
      <xdr:nvSpPr>
        <xdr:cNvPr id="76" name="Rectangle 75">
          <a:extLst>
            <a:ext uri="{FF2B5EF4-FFF2-40B4-BE49-F238E27FC236}">
              <a16:creationId xmlns:a16="http://schemas.microsoft.com/office/drawing/2014/main" id="{00000000-0008-0000-0100-00004C000000}"/>
            </a:ext>
          </a:extLst>
        </xdr:cNvPr>
        <xdr:cNvSpPr/>
      </xdr:nvSpPr>
      <xdr:spPr>
        <a:xfrm flipV="1">
          <a:off x="0" y="31203900"/>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10</xdr:col>
      <xdr:colOff>400050</xdr:colOff>
      <xdr:row>139</xdr:row>
      <xdr:rowOff>9525</xdr:rowOff>
    </xdr:from>
    <xdr:to>
      <xdr:col>10</xdr:col>
      <xdr:colOff>742950</xdr:colOff>
      <xdr:row>139</xdr:row>
      <xdr:rowOff>11113</xdr:rowOff>
    </xdr:to>
    <xdr:cxnSp macro="">
      <xdr:nvCxnSpPr>
        <xdr:cNvPr id="77" name="Connecteur droit avec flèche 76">
          <a:extLst>
            <a:ext uri="{FF2B5EF4-FFF2-40B4-BE49-F238E27FC236}">
              <a16:creationId xmlns:a16="http://schemas.microsoft.com/office/drawing/2014/main" id="{00000000-0008-0000-0100-00004D000000}"/>
            </a:ext>
          </a:extLst>
        </xdr:cNvPr>
        <xdr:cNvCxnSpPr/>
      </xdr:nvCxnSpPr>
      <xdr:spPr>
        <a:xfrm>
          <a:off x="8020050" y="29051250"/>
          <a:ext cx="3429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514350</xdr:colOff>
      <xdr:row>110</xdr:row>
      <xdr:rowOff>9525</xdr:rowOff>
    </xdr:from>
    <xdr:to>
      <xdr:col>7</xdr:col>
      <xdr:colOff>19050</xdr:colOff>
      <xdr:row>110</xdr:row>
      <xdr:rowOff>11113</xdr:rowOff>
    </xdr:to>
    <xdr:cxnSp macro="">
      <xdr:nvCxnSpPr>
        <xdr:cNvPr id="78" name="Connecteur droit avec flèche 77">
          <a:extLst>
            <a:ext uri="{FF2B5EF4-FFF2-40B4-BE49-F238E27FC236}">
              <a16:creationId xmlns:a16="http://schemas.microsoft.com/office/drawing/2014/main" id="{00000000-0008-0000-0100-00004E000000}"/>
            </a:ext>
          </a:extLst>
        </xdr:cNvPr>
        <xdr:cNvCxnSpPr/>
      </xdr:nvCxnSpPr>
      <xdr:spPr>
        <a:xfrm>
          <a:off x="5086350" y="23260050"/>
          <a:ext cx="2667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571500</xdr:colOff>
      <xdr:row>157</xdr:row>
      <xdr:rowOff>0</xdr:rowOff>
    </xdr:from>
    <xdr:to>
      <xdr:col>10</xdr:col>
      <xdr:colOff>752475</xdr:colOff>
      <xdr:row>168</xdr:row>
      <xdr:rowOff>9525</xdr:rowOff>
    </xdr:to>
    <xdr:sp macro="" textlink="">
      <xdr:nvSpPr>
        <xdr:cNvPr id="79" name="Accolade fermante 78">
          <a:extLst>
            <a:ext uri="{FF2B5EF4-FFF2-40B4-BE49-F238E27FC236}">
              <a16:creationId xmlns:a16="http://schemas.microsoft.com/office/drawing/2014/main" id="{00000000-0008-0000-0100-00004F000000}"/>
            </a:ext>
          </a:extLst>
        </xdr:cNvPr>
        <xdr:cNvSpPr/>
      </xdr:nvSpPr>
      <xdr:spPr>
        <a:xfrm>
          <a:off x="7429500" y="32737425"/>
          <a:ext cx="942975" cy="2209800"/>
        </a:xfrm>
        <a:prstGeom prst="rightBrace">
          <a:avLst>
            <a:gd name="adj1" fmla="val 8333"/>
            <a:gd name="adj2" fmla="val 93535"/>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12</xdr:col>
      <xdr:colOff>533400</xdr:colOff>
      <xdr:row>169</xdr:row>
      <xdr:rowOff>180975</xdr:rowOff>
    </xdr:from>
    <xdr:to>
      <xdr:col>13</xdr:col>
      <xdr:colOff>495300</xdr:colOff>
      <xdr:row>170</xdr:row>
      <xdr:rowOff>1</xdr:rowOff>
    </xdr:to>
    <xdr:cxnSp macro="">
      <xdr:nvCxnSpPr>
        <xdr:cNvPr id="80" name="Connecteur droit 79">
          <a:extLst>
            <a:ext uri="{FF2B5EF4-FFF2-40B4-BE49-F238E27FC236}">
              <a16:creationId xmlns:a16="http://schemas.microsoft.com/office/drawing/2014/main" id="{00000000-0008-0000-0100-000050000000}"/>
            </a:ext>
          </a:extLst>
        </xdr:cNvPr>
        <xdr:cNvCxnSpPr/>
      </xdr:nvCxnSpPr>
      <xdr:spPr>
        <a:xfrm flipV="1">
          <a:off x="9677400" y="35309175"/>
          <a:ext cx="723900" cy="95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552450</xdr:colOff>
      <xdr:row>172</xdr:row>
      <xdr:rowOff>0</xdr:rowOff>
    </xdr:from>
    <xdr:to>
      <xdr:col>13</xdr:col>
      <xdr:colOff>514350</xdr:colOff>
      <xdr:row>172</xdr:row>
      <xdr:rowOff>9526</xdr:rowOff>
    </xdr:to>
    <xdr:cxnSp macro="">
      <xdr:nvCxnSpPr>
        <xdr:cNvPr id="81" name="Connecteur droit 80">
          <a:extLst>
            <a:ext uri="{FF2B5EF4-FFF2-40B4-BE49-F238E27FC236}">
              <a16:creationId xmlns:a16="http://schemas.microsoft.com/office/drawing/2014/main" id="{00000000-0008-0000-0100-000051000000}"/>
            </a:ext>
          </a:extLst>
        </xdr:cNvPr>
        <xdr:cNvCxnSpPr/>
      </xdr:nvCxnSpPr>
      <xdr:spPr>
        <a:xfrm flipV="1">
          <a:off x="9696450" y="35709225"/>
          <a:ext cx="723900" cy="95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723900</xdr:colOff>
      <xdr:row>199</xdr:row>
      <xdr:rowOff>9525</xdr:rowOff>
    </xdr:from>
    <xdr:to>
      <xdr:col>6</xdr:col>
      <xdr:colOff>0</xdr:colOff>
      <xdr:row>200</xdr:row>
      <xdr:rowOff>180975</xdr:rowOff>
    </xdr:to>
    <xdr:sp macro="" textlink="">
      <xdr:nvSpPr>
        <xdr:cNvPr id="82" name="Accolade fermante 81">
          <a:extLst>
            <a:ext uri="{FF2B5EF4-FFF2-40B4-BE49-F238E27FC236}">
              <a16:creationId xmlns:a16="http://schemas.microsoft.com/office/drawing/2014/main" id="{00000000-0008-0000-0100-000052000000}"/>
            </a:ext>
          </a:extLst>
        </xdr:cNvPr>
        <xdr:cNvSpPr/>
      </xdr:nvSpPr>
      <xdr:spPr>
        <a:xfrm>
          <a:off x="3771900" y="41167050"/>
          <a:ext cx="800100" cy="361950"/>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1</xdr:col>
      <xdr:colOff>133350</xdr:colOff>
      <xdr:row>217</xdr:row>
      <xdr:rowOff>180974</xdr:rowOff>
    </xdr:from>
    <xdr:to>
      <xdr:col>2</xdr:col>
      <xdr:colOff>95250</xdr:colOff>
      <xdr:row>218</xdr:row>
      <xdr:rowOff>85725</xdr:rowOff>
    </xdr:to>
    <xdr:sp macro="" textlink="">
      <xdr:nvSpPr>
        <xdr:cNvPr id="83" name="Flèche droite 99">
          <a:extLst>
            <a:ext uri="{FF2B5EF4-FFF2-40B4-BE49-F238E27FC236}">
              <a16:creationId xmlns:a16="http://schemas.microsoft.com/office/drawing/2014/main" id="{00000000-0008-0000-0100-000053000000}"/>
            </a:ext>
          </a:extLst>
        </xdr:cNvPr>
        <xdr:cNvSpPr/>
      </xdr:nvSpPr>
      <xdr:spPr>
        <a:xfrm>
          <a:off x="895350" y="44891324"/>
          <a:ext cx="723900" cy="14287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752474</xdr:colOff>
      <xdr:row>217</xdr:row>
      <xdr:rowOff>9525</xdr:rowOff>
    </xdr:from>
    <xdr:to>
      <xdr:col>5</xdr:col>
      <xdr:colOff>95249</xdr:colOff>
      <xdr:row>219</xdr:row>
      <xdr:rowOff>9525</xdr:rowOff>
    </xdr:to>
    <xdr:sp macro="" textlink="">
      <xdr:nvSpPr>
        <xdr:cNvPr id="84" name="Parenthèse ouvrante 83">
          <a:extLst>
            <a:ext uri="{FF2B5EF4-FFF2-40B4-BE49-F238E27FC236}">
              <a16:creationId xmlns:a16="http://schemas.microsoft.com/office/drawing/2014/main" id="{00000000-0008-0000-0100-000054000000}"/>
            </a:ext>
          </a:extLst>
        </xdr:cNvPr>
        <xdr:cNvSpPr/>
      </xdr:nvSpPr>
      <xdr:spPr>
        <a:xfrm>
          <a:off x="3800474" y="44719875"/>
          <a:ext cx="104775" cy="47625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7</xdr:col>
      <xdr:colOff>381000</xdr:colOff>
      <xdr:row>217</xdr:row>
      <xdr:rowOff>9525</xdr:rowOff>
    </xdr:from>
    <xdr:to>
      <xdr:col>7</xdr:col>
      <xdr:colOff>485775</xdr:colOff>
      <xdr:row>219</xdr:row>
      <xdr:rowOff>9525</xdr:rowOff>
    </xdr:to>
    <xdr:sp macro="" textlink="">
      <xdr:nvSpPr>
        <xdr:cNvPr id="85" name="Parenthèse ouvrante 84">
          <a:extLst>
            <a:ext uri="{FF2B5EF4-FFF2-40B4-BE49-F238E27FC236}">
              <a16:creationId xmlns:a16="http://schemas.microsoft.com/office/drawing/2014/main" id="{00000000-0008-0000-0100-000055000000}"/>
            </a:ext>
          </a:extLst>
        </xdr:cNvPr>
        <xdr:cNvSpPr/>
      </xdr:nvSpPr>
      <xdr:spPr>
        <a:xfrm>
          <a:off x="5715000" y="44719875"/>
          <a:ext cx="104775" cy="476250"/>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495300</xdr:colOff>
      <xdr:row>216</xdr:row>
      <xdr:rowOff>190499</xdr:rowOff>
    </xdr:from>
    <xdr:to>
      <xdr:col>8</xdr:col>
      <xdr:colOff>628650</xdr:colOff>
      <xdr:row>219</xdr:row>
      <xdr:rowOff>9524</xdr:rowOff>
    </xdr:to>
    <xdr:sp macro="" textlink="">
      <xdr:nvSpPr>
        <xdr:cNvPr id="86" name="Parenthèse ouvrante 85">
          <a:extLst>
            <a:ext uri="{FF2B5EF4-FFF2-40B4-BE49-F238E27FC236}">
              <a16:creationId xmlns:a16="http://schemas.microsoft.com/office/drawing/2014/main" id="{00000000-0008-0000-0100-000056000000}"/>
            </a:ext>
          </a:extLst>
        </xdr:cNvPr>
        <xdr:cNvSpPr/>
      </xdr:nvSpPr>
      <xdr:spPr>
        <a:xfrm flipH="1" flipV="1">
          <a:off x="6591300" y="44710349"/>
          <a:ext cx="133350" cy="485775"/>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11</xdr:col>
      <xdr:colOff>314325</xdr:colOff>
      <xdr:row>217</xdr:row>
      <xdr:rowOff>0</xdr:rowOff>
    </xdr:from>
    <xdr:to>
      <xdr:col>11</xdr:col>
      <xdr:colOff>447675</xdr:colOff>
      <xdr:row>219</xdr:row>
      <xdr:rowOff>9525</xdr:rowOff>
    </xdr:to>
    <xdr:sp macro="" textlink="">
      <xdr:nvSpPr>
        <xdr:cNvPr id="87" name="Parenthèse ouvrante 86">
          <a:extLst>
            <a:ext uri="{FF2B5EF4-FFF2-40B4-BE49-F238E27FC236}">
              <a16:creationId xmlns:a16="http://schemas.microsoft.com/office/drawing/2014/main" id="{00000000-0008-0000-0100-000057000000}"/>
            </a:ext>
          </a:extLst>
        </xdr:cNvPr>
        <xdr:cNvSpPr/>
      </xdr:nvSpPr>
      <xdr:spPr>
        <a:xfrm flipH="1" flipV="1">
          <a:off x="8696325" y="44710350"/>
          <a:ext cx="133350" cy="485775"/>
        </a:xfrm>
        <a:prstGeom prst="leftBracket">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5</xdr:col>
      <xdr:colOff>142875</xdr:colOff>
      <xdr:row>218</xdr:row>
      <xdr:rowOff>1905</xdr:rowOff>
    </xdr:from>
    <xdr:to>
      <xdr:col>5</xdr:col>
      <xdr:colOff>609600</xdr:colOff>
      <xdr:row>218</xdr:row>
      <xdr:rowOff>47624</xdr:rowOff>
    </xdr:to>
    <xdr:sp macro="" textlink="">
      <xdr:nvSpPr>
        <xdr:cNvPr id="88" name="Rectangle 87">
          <a:extLst>
            <a:ext uri="{FF2B5EF4-FFF2-40B4-BE49-F238E27FC236}">
              <a16:creationId xmlns:a16="http://schemas.microsoft.com/office/drawing/2014/main" id="{00000000-0008-0000-0100-000058000000}"/>
            </a:ext>
          </a:extLst>
        </xdr:cNvPr>
        <xdr:cNvSpPr/>
      </xdr:nvSpPr>
      <xdr:spPr>
        <a:xfrm>
          <a:off x="3952875" y="44950380"/>
          <a:ext cx="466725"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314325</xdr:colOff>
      <xdr:row>217</xdr:row>
      <xdr:rowOff>228600</xdr:rowOff>
    </xdr:from>
    <xdr:to>
      <xdr:col>8</xdr:col>
      <xdr:colOff>561975</xdr:colOff>
      <xdr:row>218</xdr:row>
      <xdr:rowOff>38100</xdr:rowOff>
    </xdr:to>
    <xdr:sp macro="" textlink="">
      <xdr:nvSpPr>
        <xdr:cNvPr id="89" name="Rectangle 88">
          <a:extLst>
            <a:ext uri="{FF2B5EF4-FFF2-40B4-BE49-F238E27FC236}">
              <a16:creationId xmlns:a16="http://schemas.microsoft.com/office/drawing/2014/main" id="{00000000-0008-0000-0100-000059000000}"/>
            </a:ext>
          </a:extLst>
        </xdr:cNvPr>
        <xdr:cNvSpPr/>
      </xdr:nvSpPr>
      <xdr:spPr>
        <a:xfrm>
          <a:off x="6410325" y="44938950"/>
          <a:ext cx="247650" cy="47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11</xdr:col>
      <xdr:colOff>0</xdr:colOff>
      <xdr:row>218</xdr:row>
      <xdr:rowOff>0</xdr:rowOff>
    </xdr:from>
    <xdr:to>
      <xdr:col>11</xdr:col>
      <xdr:colOff>247650</xdr:colOff>
      <xdr:row>218</xdr:row>
      <xdr:rowOff>47625</xdr:rowOff>
    </xdr:to>
    <xdr:sp macro="" textlink="">
      <xdr:nvSpPr>
        <xdr:cNvPr id="90" name="Rectangle 89">
          <a:extLst>
            <a:ext uri="{FF2B5EF4-FFF2-40B4-BE49-F238E27FC236}">
              <a16:creationId xmlns:a16="http://schemas.microsoft.com/office/drawing/2014/main" id="{00000000-0008-0000-0100-00005A000000}"/>
            </a:ext>
          </a:extLst>
        </xdr:cNvPr>
        <xdr:cNvSpPr/>
      </xdr:nvSpPr>
      <xdr:spPr>
        <a:xfrm>
          <a:off x="8382000" y="44948475"/>
          <a:ext cx="247650" cy="47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3</xdr:col>
      <xdr:colOff>142875</xdr:colOff>
      <xdr:row>218</xdr:row>
      <xdr:rowOff>0</xdr:rowOff>
    </xdr:from>
    <xdr:to>
      <xdr:col>3</xdr:col>
      <xdr:colOff>609600</xdr:colOff>
      <xdr:row>218</xdr:row>
      <xdr:rowOff>45719</xdr:rowOff>
    </xdr:to>
    <xdr:sp macro="" textlink="">
      <xdr:nvSpPr>
        <xdr:cNvPr id="91" name="Rectangle 90">
          <a:extLst>
            <a:ext uri="{FF2B5EF4-FFF2-40B4-BE49-F238E27FC236}">
              <a16:creationId xmlns:a16="http://schemas.microsoft.com/office/drawing/2014/main" id="{00000000-0008-0000-0100-00005B000000}"/>
            </a:ext>
          </a:extLst>
        </xdr:cNvPr>
        <xdr:cNvSpPr/>
      </xdr:nvSpPr>
      <xdr:spPr>
        <a:xfrm>
          <a:off x="2428875" y="44948475"/>
          <a:ext cx="466725"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10</xdr:col>
      <xdr:colOff>561975</xdr:colOff>
      <xdr:row>167</xdr:row>
      <xdr:rowOff>66675</xdr:rowOff>
    </xdr:from>
    <xdr:to>
      <xdr:col>11</xdr:col>
      <xdr:colOff>0</xdr:colOff>
      <xdr:row>167</xdr:row>
      <xdr:rowOff>68263</xdr:rowOff>
    </xdr:to>
    <xdr:cxnSp macro="">
      <xdr:nvCxnSpPr>
        <xdr:cNvPr id="92" name="Connecteur droit avec flèche 91">
          <a:extLst>
            <a:ext uri="{FF2B5EF4-FFF2-40B4-BE49-F238E27FC236}">
              <a16:creationId xmlns:a16="http://schemas.microsoft.com/office/drawing/2014/main" id="{00000000-0008-0000-0100-00005C000000}"/>
            </a:ext>
          </a:extLst>
        </xdr:cNvPr>
        <xdr:cNvCxnSpPr/>
      </xdr:nvCxnSpPr>
      <xdr:spPr>
        <a:xfrm>
          <a:off x="8181975" y="34794825"/>
          <a:ext cx="20002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504825</xdr:colOff>
      <xdr:row>200</xdr:row>
      <xdr:rowOff>0</xdr:rowOff>
    </xdr:from>
    <xdr:to>
      <xdr:col>6</xdr:col>
      <xdr:colOff>85725</xdr:colOff>
      <xdr:row>200</xdr:row>
      <xdr:rowOff>1588</xdr:rowOff>
    </xdr:to>
    <xdr:cxnSp macro="">
      <xdr:nvCxnSpPr>
        <xdr:cNvPr id="93" name="Connecteur droit avec flèche 92">
          <a:extLst>
            <a:ext uri="{FF2B5EF4-FFF2-40B4-BE49-F238E27FC236}">
              <a16:creationId xmlns:a16="http://schemas.microsoft.com/office/drawing/2014/main" id="{00000000-0008-0000-0100-00005D000000}"/>
            </a:ext>
          </a:extLst>
        </xdr:cNvPr>
        <xdr:cNvCxnSpPr/>
      </xdr:nvCxnSpPr>
      <xdr:spPr>
        <a:xfrm>
          <a:off x="4314825" y="41348025"/>
          <a:ext cx="3429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714375</xdr:colOff>
      <xdr:row>218</xdr:row>
      <xdr:rowOff>0</xdr:rowOff>
    </xdr:from>
    <xdr:to>
      <xdr:col>7</xdr:col>
      <xdr:colOff>200025</xdr:colOff>
      <xdr:row>218</xdr:row>
      <xdr:rowOff>47625</xdr:rowOff>
    </xdr:to>
    <xdr:sp macro="" textlink="">
      <xdr:nvSpPr>
        <xdr:cNvPr id="94" name="Rectangle 93">
          <a:extLst>
            <a:ext uri="{FF2B5EF4-FFF2-40B4-BE49-F238E27FC236}">
              <a16:creationId xmlns:a16="http://schemas.microsoft.com/office/drawing/2014/main" id="{00000000-0008-0000-0100-00005E000000}"/>
            </a:ext>
          </a:extLst>
        </xdr:cNvPr>
        <xdr:cNvSpPr/>
      </xdr:nvSpPr>
      <xdr:spPr>
        <a:xfrm>
          <a:off x="5286375" y="44948475"/>
          <a:ext cx="247650" cy="47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7</xdr:col>
      <xdr:colOff>257175</xdr:colOff>
      <xdr:row>230</xdr:row>
      <xdr:rowOff>180975</xdr:rowOff>
    </xdr:from>
    <xdr:to>
      <xdr:col>7</xdr:col>
      <xdr:colOff>485775</xdr:colOff>
      <xdr:row>230</xdr:row>
      <xdr:rowOff>182563</xdr:rowOff>
    </xdr:to>
    <xdr:cxnSp macro="">
      <xdr:nvCxnSpPr>
        <xdr:cNvPr id="95" name="Connecteur droit 94">
          <a:extLst>
            <a:ext uri="{FF2B5EF4-FFF2-40B4-BE49-F238E27FC236}">
              <a16:creationId xmlns:a16="http://schemas.microsoft.com/office/drawing/2014/main" id="{00000000-0008-0000-0100-00005F000000}"/>
            </a:ext>
          </a:extLst>
        </xdr:cNvPr>
        <xdr:cNvCxnSpPr/>
      </xdr:nvCxnSpPr>
      <xdr:spPr>
        <a:xfrm>
          <a:off x="5591175" y="47748825"/>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231</xdr:row>
      <xdr:rowOff>0</xdr:rowOff>
    </xdr:from>
    <xdr:to>
      <xdr:col>8</xdr:col>
      <xdr:colOff>228600</xdr:colOff>
      <xdr:row>231</xdr:row>
      <xdr:rowOff>1588</xdr:rowOff>
    </xdr:to>
    <xdr:cxnSp macro="">
      <xdr:nvCxnSpPr>
        <xdr:cNvPr id="96" name="Connecteur droit 95">
          <a:extLst>
            <a:ext uri="{FF2B5EF4-FFF2-40B4-BE49-F238E27FC236}">
              <a16:creationId xmlns:a16="http://schemas.microsoft.com/office/drawing/2014/main" id="{00000000-0008-0000-0100-000060000000}"/>
            </a:ext>
          </a:extLst>
        </xdr:cNvPr>
        <xdr:cNvCxnSpPr/>
      </xdr:nvCxnSpPr>
      <xdr:spPr>
        <a:xfrm>
          <a:off x="6096000" y="477583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323850</xdr:colOff>
      <xdr:row>231</xdr:row>
      <xdr:rowOff>0</xdr:rowOff>
    </xdr:from>
    <xdr:to>
      <xdr:col>8</xdr:col>
      <xdr:colOff>552450</xdr:colOff>
      <xdr:row>231</xdr:row>
      <xdr:rowOff>1588</xdr:rowOff>
    </xdr:to>
    <xdr:cxnSp macro="">
      <xdr:nvCxnSpPr>
        <xdr:cNvPr id="97" name="Connecteur droit 96">
          <a:extLst>
            <a:ext uri="{FF2B5EF4-FFF2-40B4-BE49-F238E27FC236}">
              <a16:creationId xmlns:a16="http://schemas.microsoft.com/office/drawing/2014/main" id="{00000000-0008-0000-0100-000061000000}"/>
            </a:ext>
          </a:extLst>
        </xdr:cNvPr>
        <xdr:cNvCxnSpPr/>
      </xdr:nvCxnSpPr>
      <xdr:spPr>
        <a:xfrm>
          <a:off x="6419850" y="477583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304800</xdr:colOff>
      <xdr:row>231</xdr:row>
      <xdr:rowOff>0</xdr:rowOff>
    </xdr:from>
    <xdr:to>
      <xdr:col>9</xdr:col>
      <xdr:colOff>533400</xdr:colOff>
      <xdr:row>231</xdr:row>
      <xdr:rowOff>1588</xdr:rowOff>
    </xdr:to>
    <xdr:cxnSp macro="">
      <xdr:nvCxnSpPr>
        <xdr:cNvPr id="98" name="Connecteur droit 97">
          <a:extLst>
            <a:ext uri="{FF2B5EF4-FFF2-40B4-BE49-F238E27FC236}">
              <a16:creationId xmlns:a16="http://schemas.microsoft.com/office/drawing/2014/main" id="{00000000-0008-0000-0100-000062000000}"/>
            </a:ext>
          </a:extLst>
        </xdr:cNvPr>
        <xdr:cNvCxnSpPr/>
      </xdr:nvCxnSpPr>
      <xdr:spPr>
        <a:xfrm>
          <a:off x="7162800" y="477583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285750</xdr:colOff>
      <xdr:row>230</xdr:row>
      <xdr:rowOff>180975</xdr:rowOff>
    </xdr:from>
    <xdr:to>
      <xdr:col>10</xdr:col>
      <xdr:colOff>514350</xdr:colOff>
      <xdr:row>230</xdr:row>
      <xdr:rowOff>182563</xdr:rowOff>
    </xdr:to>
    <xdr:cxnSp macro="">
      <xdr:nvCxnSpPr>
        <xdr:cNvPr id="99" name="Connecteur droit 98">
          <a:extLst>
            <a:ext uri="{FF2B5EF4-FFF2-40B4-BE49-F238E27FC236}">
              <a16:creationId xmlns:a16="http://schemas.microsoft.com/office/drawing/2014/main" id="{00000000-0008-0000-0100-000063000000}"/>
            </a:ext>
          </a:extLst>
        </xdr:cNvPr>
        <xdr:cNvCxnSpPr/>
      </xdr:nvCxnSpPr>
      <xdr:spPr>
        <a:xfrm>
          <a:off x="7905750" y="47748825"/>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628651</xdr:colOff>
      <xdr:row>230</xdr:row>
      <xdr:rowOff>0</xdr:rowOff>
    </xdr:from>
    <xdr:to>
      <xdr:col>7</xdr:col>
      <xdr:colOff>723901</xdr:colOff>
      <xdr:row>232</xdr:row>
      <xdr:rowOff>0</xdr:rowOff>
    </xdr:to>
    <xdr:sp macro="" textlink="">
      <xdr:nvSpPr>
        <xdr:cNvPr id="100" name="Accolade ouvrante 99">
          <a:extLst>
            <a:ext uri="{FF2B5EF4-FFF2-40B4-BE49-F238E27FC236}">
              <a16:creationId xmlns:a16="http://schemas.microsoft.com/office/drawing/2014/main" id="{00000000-0008-0000-0100-000064000000}"/>
            </a:ext>
          </a:extLst>
        </xdr:cNvPr>
        <xdr:cNvSpPr/>
      </xdr:nvSpPr>
      <xdr:spPr>
        <a:xfrm>
          <a:off x="5962651" y="47567850"/>
          <a:ext cx="95250" cy="381000"/>
        </a:xfrm>
        <a:prstGeom prst="lef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10</xdr:col>
      <xdr:colOff>571500</xdr:colOff>
      <xdr:row>229</xdr:row>
      <xdr:rowOff>190499</xdr:rowOff>
    </xdr:from>
    <xdr:to>
      <xdr:col>10</xdr:col>
      <xdr:colOff>707898</xdr:colOff>
      <xdr:row>232</xdr:row>
      <xdr:rowOff>9524</xdr:rowOff>
    </xdr:to>
    <xdr:sp macro="" textlink="">
      <xdr:nvSpPr>
        <xdr:cNvPr id="101" name="Accolade fermante 100">
          <a:extLst>
            <a:ext uri="{FF2B5EF4-FFF2-40B4-BE49-F238E27FC236}">
              <a16:creationId xmlns:a16="http://schemas.microsoft.com/office/drawing/2014/main" id="{00000000-0008-0000-0100-000065000000}"/>
            </a:ext>
          </a:extLst>
        </xdr:cNvPr>
        <xdr:cNvSpPr/>
      </xdr:nvSpPr>
      <xdr:spPr>
        <a:xfrm>
          <a:off x="8191500" y="47567849"/>
          <a:ext cx="136398" cy="390525"/>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695324</xdr:colOff>
      <xdr:row>230</xdr:row>
      <xdr:rowOff>9525</xdr:rowOff>
    </xdr:from>
    <xdr:to>
      <xdr:col>9</xdr:col>
      <xdr:colOff>628649</xdr:colOff>
      <xdr:row>231</xdr:row>
      <xdr:rowOff>180975</xdr:rowOff>
    </xdr:to>
    <xdr:sp macro="" textlink="">
      <xdr:nvSpPr>
        <xdr:cNvPr id="102" name="Parenthèses 101">
          <a:extLst>
            <a:ext uri="{FF2B5EF4-FFF2-40B4-BE49-F238E27FC236}">
              <a16:creationId xmlns:a16="http://schemas.microsoft.com/office/drawing/2014/main" id="{00000000-0008-0000-0100-000066000000}"/>
            </a:ext>
          </a:extLst>
        </xdr:cNvPr>
        <xdr:cNvSpPr/>
      </xdr:nvSpPr>
      <xdr:spPr>
        <a:xfrm>
          <a:off x="6791324" y="47577375"/>
          <a:ext cx="695325" cy="361950"/>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533400</xdr:colOff>
      <xdr:row>235</xdr:row>
      <xdr:rowOff>9525</xdr:rowOff>
    </xdr:from>
    <xdr:to>
      <xdr:col>9</xdr:col>
      <xdr:colOff>0</xdr:colOff>
      <xdr:row>236</xdr:row>
      <xdr:rowOff>180975</xdr:rowOff>
    </xdr:to>
    <xdr:sp macro="" textlink="">
      <xdr:nvSpPr>
        <xdr:cNvPr id="103" name="Parenthèses 102">
          <a:extLst>
            <a:ext uri="{FF2B5EF4-FFF2-40B4-BE49-F238E27FC236}">
              <a16:creationId xmlns:a16="http://schemas.microsoft.com/office/drawing/2014/main" id="{00000000-0008-0000-0100-000067000000}"/>
            </a:ext>
          </a:extLst>
        </xdr:cNvPr>
        <xdr:cNvSpPr/>
      </xdr:nvSpPr>
      <xdr:spPr>
        <a:xfrm>
          <a:off x="6629400" y="48529875"/>
          <a:ext cx="228600" cy="361950"/>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7</xdr:col>
      <xdr:colOff>647700</xdr:colOff>
      <xdr:row>235</xdr:row>
      <xdr:rowOff>9525</xdr:rowOff>
    </xdr:from>
    <xdr:to>
      <xdr:col>7</xdr:col>
      <xdr:colOff>742950</xdr:colOff>
      <xdr:row>237</xdr:row>
      <xdr:rowOff>9525</xdr:rowOff>
    </xdr:to>
    <xdr:sp macro="" textlink="">
      <xdr:nvSpPr>
        <xdr:cNvPr id="104" name="Accolade ouvrante 103">
          <a:extLst>
            <a:ext uri="{FF2B5EF4-FFF2-40B4-BE49-F238E27FC236}">
              <a16:creationId xmlns:a16="http://schemas.microsoft.com/office/drawing/2014/main" id="{00000000-0008-0000-0100-000068000000}"/>
            </a:ext>
          </a:extLst>
        </xdr:cNvPr>
        <xdr:cNvSpPr/>
      </xdr:nvSpPr>
      <xdr:spPr>
        <a:xfrm>
          <a:off x="5981700" y="48529875"/>
          <a:ext cx="95250" cy="381000"/>
        </a:xfrm>
        <a:prstGeom prst="lef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9</xdr:col>
      <xdr:colOff>657225</xdr:colOff>
      <xdr:row>235</xdr:row>
      <xdr:rowOff>0</xdr:rowOff>
    </xdr:from>
    <xdr:to>
      <xdr:col>10</xdr:col>
      <xdr:colOff>31623</xdr:colOff>
      <xdr:row>237</xdr:row>
      <xdr:rowOff>9525</xdr:rowOff>
    </xdr:to>
    <xdr:sp macro="" textlink="">
      <xdr:nvSpPr>
        <xdr:cNvPr id="105" name="Accolade fermante 104">
          <a:extLst>
            <a:ext uri="{FF2B5EF4-FFF2-40B4-BE49-F238E27FC236}">
              <a16:creationId xmlns:a16="http://schemas.microsoft.com/office/drawing/2014/main" id="{00000000-0008-0000-0100-000069000000}"/>
            </a:ext>
          </a:extLst>
        </xdr:cNvPr>
        <xdr:cNvSpPr/>
      </xdr:nvSpPr>
      <xdr:spPr>
        <a:xfrm>
          <a:off x="7515225" y="48520350"/>
          <a:ext cx="136398" cy="390525"/>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11</xdr:col>
      <xdr:colOff>714374</xdr:colOff>
      <xdr:row>235</xdr:row>
      <xdr:rowOff>0</xdr:rowOff>
    </xdr:from>
    <xdr:to>
      <xdr:col>12</xdr:col>
      <xdr:colOff>247649</xdr:colOff>
      <xdr:row>236</xdr:row>
      <xdr:rowOff>171450</xdr:rowOff>
    </xdr:to>
    <xdr:sp macro="" textlink="">
      <xdr:nvSpPr>
        <xdr:cNvPr id="106" name="Parenthèses 105">
          <a:extLst>
            <a:ext uri="{FF2B5EF4-FFF2-40B4-BE49-F238E27FC236}">
              <a16:creationId xmlns:a16="http://schemas.microsoft.com/office/drawing/2014/main" id="{00000000-0008-0000-0100-00006A000000}"/>
            </a:ext>
          </a:extLst>
        </xdr:cNvPr>
        <xdr:cNvSpPr/>
      </xdr:nvSpPr>
      <xdr:spPr>
        <a:xfrm>
          <a:off x="9096374" y="48520350"/>
          <a:ext cx="295275" cy="361950"/>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0</xdr:colOff>
      <xdr:row>236</xdr:row>
      <xdr:rowOff>0</xdr:rowOff>
    </xdr:from>
    <xdr:to>
      <xdr:col>8</xdr:col>
      <xdr:colOff>228600</xdr:colOff>
      <xdr:row>236</xdr:row>
      <xdr:rowOff>1588</xdr:rowOff>
    </xdr:to>
    <xdr:cxnSp macro="">
      <xdr:nvCxnSpPr>
        <xdr:cNvPr id="107" name="Connecteur droit 106">
          <a:extLst>
            <a:ext uri="{FF2B5EF4-FFF2-40B4-BE49-F238E27FC236}">
              <a16:creationId xmlns:a16="http://schemas.microsoft.com/office/drawing/2014/main" id="{00000000-0008-0000-0100-00006B000000}"/>
            </a:ext>
          </a:extLst>
        </xdr:cNvPr>
        <xdr:cNvCxnSpPr/>
      </xdr:nvCxnSpPr>
      <xdr:spPr>
        <a:xfrm>
          <a:off x="6096000" y="487108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276225</xdr:colOff>
      <xdr:row>236</xdr:row>
      <xdr:rowOff>0</xdr:rowOff>
    </xdr:from>
    <xdr:to>
      <xdr:col>8</xdr:col>
      <xdr:colOff>504825</xdr:colOff>
      <xdr:row>236</xdr:row>
      <xdr:rowOff>1588</xdr:rowOff>
    </xdr:to>
    <xdr:cxnSp macro="">
      <xdr:nvCxnSpPr>
        <xdr:cNvPr id="108" name="Connecteur droit 107">
          <a:extLst>
            <a:ext uri="{FF2B5EF4-FFF2-40B4-BE49-F238E27FC236}">
              <a16:creationId xmlns:a16="http://schemas.microsoft.com/office/drawing/2014/main" id="{00000000-0008-0000-0100-00006C000000}"/>
            </a:ext>
          </a:extLst>
        </xdr:cNvPr>
        <xdr:cNvCxnSpPr/>
      </xdr:nvCxnSpPr>
      <xdr:spPr>
        <a:xfrm>
          <a:off x="6372225" y="487108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561975</xdr:colOff>
      <xdr:row>235</xdr:row>
      <xdr:rowOff>180976</xdr:rowOff>
    </xdr:from>
    <xdr:to>
      <xdr:col>9</xdr:col>
      <xdr:colOff>0</xdr:colOff>
      <xdr:row>236</xdr:row>
      <xdr:rowOff>0</xdr:rowOff>
    </xdr:to>
    <xdr:cxnSp macro="">
      <xdr:nvCxnSpPr>
        <xdr:cNvPr id="109" name="Connecteur droit 108">
          <a:extLst>
            <a:ext uri="{FF2B5EF4-FFF2-40B4-BE49-F238E27FC236}">
              <a16:creationId xmlns:a16="http://schemas.microsoft.com/office/drawing/2014/main" id="{00000000-0008-0000-0100-00006D000000}"/>
            </a:ext>
          </a:extLst>
        </xdr:cNvPr>
        <xdr:cNvCxnSpPr>
          <a:endCxn id="103" idx="3"/>
        </xdr:cNvCxnSpPr>
      </xdr:nvCxnSpPr>
      <xdr:spPr>
        <a:xfrm>
          <a:off x="6657975" y="48701326"/>
          <a:ext cx="200025" cy="95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152400</xdr:colOff>
      <xdr:row>236</xdr:row>
      <xdr:rowOff>0</xdr:rowOff>
    </xdr:from>
    <xdr:to>
      <xdr:col>9</xdr:col>
      <xdr:colOff>381000</xdr:colOff>
      <xdr:row>236</xdr:row>
      <xdr:rowOff>1588</xdr:rowOff>
    </xdr:to>
    <xdr:cxnSp macro="">
      <xdr:nvCxnSpPr>
        <xdr:cNvPr id="110" name="Connecteur droit 109">
          <a:extLst>
            <a:ext uri="{FF2B5EF4-FFF2-40B4-BE49-F238E27FC236}">
              <a16:creationId xmlns:a16="http://schemas.microsoft.com/office/drawing/2014/main" id="{00000000-0008-0000-0100-00006E000000}"/>
            </a:ext>
          </a:extLst>
        </xdr:cNvPr>
        <xdr:cNvCxnSpPr/>
      </xdr:nvCxnSpPr>
      <xdr:spPr>
        <a:xfrm>
          <a:off x="7010400" y="487108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428625</xdr:colOff>
      <xdr:row>236</xdr:row>
      <xdr:rowOff>0</xdr:rowOff>
    </xdr:from>
    <xdr:to>
      <xdr:col>9</xdr:col>
      <xdr:colOff>657225</xdr:colOff>
      <xdr:row>236</xdr:row>
      <xdr:rowOff>1588</xdr:rowOff>
    </xdr:to>
    <xdr:cxnSp macro="">
      <xdr:nvCxnSpPr>
        <xdr:cNvPr id="111" name="Connecteur droit 110">
          <a:extLst>
            <a:ext uri="{FF2B5EF4-FFF2-40B4-BE49-F238E27FC236}">
              <a16:creationId xmlns:a16="http://schemas.microsoft.com/office/drawing/2014/main" id="{00000000-0008-0000-0100-00006F000000}"/>
            </a:ext>
          </a:extLst>
        </xdr:cNvPr>
        <xdr:cNvCxnSpPr/>
      </xdr:nvCxnSpPr>
      <xdr:spPr>
        <a:xfrm>
          <a:off x="7286625" y="487108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752475</xdr:colOff>
      <xdr:row>236</xdr:row>
      <xdr:rowOff>0</xdr:rowOff>
    </xdr:from>
    <xdr:to>
      <xdr:col>12</xdr:col>
      <xdr:colOff>219075</xdr:colOff>
      <xdr:row>236</xdr:row>
      <xdr:rowOff>1588</xdr:rowOff>
    </xdr:to>
    <xdr:cxnSp macro="">
      <xdr:nvCxnSpPr>
        <xdr:cNvPr id="112" name="Connecteur droit 111">
          <a:extLst>
            <a:ext uri="{FF2B5EF4-FFF2-40B4-BE49-F238E27FC236}">
              <a16:creationId xmlns:a16="http://schemas.microsoft.com/office/drawing/2014/main" id="{00000000-0008-0000-0100-000070000000}"/>
            </a:ext>
          </a:extLst>
        </xdr:cNvPr>
        <xdr:cNvCxnSpPr/>
      </xdr:nvCxnSpPr>
      <xdr:spPr>
        <a:xfrm>
          <a:off x="9134475" y="48710850"/>
          <a:ext cx="2286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247650</xdr:colOff>
      <xdr:row>241</xdr:row>
      <xdr:rowOff>0</xdr:rowOff>
    </xdr:from>
    <xdr:to>
      <xdr:col>8</xdr:col>
      <xdr:colOff>0</xdr:colOff>
      <xdr:row>241</xdr:row>
      <xdr:rowOff>1588</xdr:rowOff>
    </xdr:to>
    <xdr:cxnSp macro="">
      <xdr:nvCxnSpPr>
        <xdr:cNvPr id="113" name="Connecteur droit 112">
          <a:extLst>
            <a:ext uri="{FF2B5EF4-FFF2-40B4-BE49-F238E27FC236}">
              <a16:creationId xmlns:a16="http://schemas.microsoft.com/office/drawing/2014/main" id="{00000000-0008-0000-0100-000071000000}"/>
            </a:ext>
          </a:extLst>
        </xdr:cNvPr>
        <xdr:cNvCxnSpPr/>
      </xdr:nvCxnSpPr>
      <xdr:spPr>
        <a:xfrm>
          <a:off x="5581650" y="49663350"/>
          <a:ext cx="51435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246</xdr:row>
      <xdr:rowOff>0</xdr:rowOff>
    </xdr:from>
    <xdr:to>
      <xdr:col>15</xdr:col>
      <xdr:colOff>0</xdr:colOff>
      <xdr:row>246</xdr:row>
      <xdr:rowOff>55244</xdr:rowOff>
    </xdr:to>
    <xdr:sp macro="" textlink="">
      <xdr:nvSpPr>
        <xdr:cNvPr id="114" name="Rectangle 113">
          <a:extLst>
            <a:ext uri="{FF2B5EF4-FFF2-40B4-BE49-F238E27FC236}">
              <a16:creationId xmlns:a16="http://schemas.microsoft.com/office/drawing/2014/main" id="{00000000-0008-0000-0100-000072000000}"/>
            </a:ext>
          </a:extLst>
        </xdr:cNvPr>
        <xdr:cNvSpPr/>
      </xdr:nvSpPr>
      <xdr:spPr>
        <a:xfrm flipV="1">
          <a:off x="0" y="50663475"/>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10</xdr:col>
      <xdr:colOff>314325</xdr:colOff>
      <xdr:row>254</xdr:row>
      <xdr:rowOff>38100</xdr:rowOff>
    </xdr:from>
    <xdr:to>
      <xdr:col>10</xdr:col>
      <xdr:colOff>469773</xdr:colOff>
      <xdr:row>258</xdr:row>
      <xdr:rowOff>171450</xdr:rowOff>
    </xdr:to>
    <xdr:sp macro="" textlink="">
      <xdr:nvSpPr>
        <xdr:cNvPr id="115" name="Accolade fermante 114">
          <a:extLst>
            <a:ext uri="{FF2B5EF4-FFF2-40B4-BE49-F238E27FC236}">
              <a16:creationId xmlns:a16="http://schemas.microsoft.com/office/drawing/2014/main" id="{00000000-0008-0000-0100-000073000000}"/>
            </a:ext>
          </a:extLst>
        </xdr:cNvPr>
        <xdr:cNvSpPr/>
      </xdr:nvSpPr>
      <xdr:spPr>
        <a:xfrm>
          <a:off x="7934325" y="52330350"/>
          <a:ext cx="155448" cy="914400"/>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0</xdr:col>
      <xdr:colOff>0</xdr:colOff>
      <xdr:row>268</xdr:row>
      <xdr:rowOff>0</xdr:rowOff>
    </xdr:from>
    <xdr:to>
      <xdr:col>15</xdr:col>
      <xdr:colOff>0</xdr:colOff>
      <xdr:row>268</xdr:row>
      <xdr:rowOff>55244</xdr:rowOff>
    </xdr:to>
    <xdr:sp macro="" textlink="">
      <xdr:nvSpPr>
        <xdr:cNvPr id="116" name="Rectangle 115">
          <a:extLst>
            <a:ext uri="{FF2B5EF4-FFF2-40B4-BE49-F238E27FC236}">
              <a16:creationId xmlns:a16="http://schemas.microsoft.com/office/drawing/2014/main" id="{00000000-0008-0000-0100-000074000000}"/>
            </a:ext>
          </a:extLst>
        </xdr:cNvPr>
        <xdr:cNvSpPr/>
      </xdr:nvSpPr>
      <xdr:spPr>
        <a:xfrm flipV="1">
          <a:off x="0" y="55092600"/>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19050</xdr:colOff>
      <xdr:row>275</xdr:row>
      <xdr:rowOff>47624</xdr:rowOff>
    </xdr:from>
    <xdr:to>
      <xdr:col>8</xdr:col>
      <xdr:colOff>733425</xdr:colOff>
      <xdr:row>275</xdr:row>
      <xdr:rowOff>160781</xdr:rowOff>
    </xdr:to>
    <xdr:sp macro="" textlink="">
      <xdr:nvSpPr>
        <xdr:cNvPr id="117" name="Flèche droite 139">
          <a:extLst>
            <a:ext uri="{FF2B5EF4-FFF2-40B4-BE49-F238E27FC236}">
              <a16:creationId xmlns:a16="http://schemas.microsoft.com/office/drawing/2014/main" id="{00000000-0008-0000-0100-000075000000}"/>
            </a:ext>
          </a:extLst>
        </xdr:cNvPr>
        <xdr:cNvSpPr/>
      </xdr:nvSpPr>
      <xdr:spPr>
        <a:xfrm>
          <a:off x="6115050" y="56588024"/>
          <a:ext cx="714375" cy="1131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171450</xdr:colOff>
      <xdr:row>274</xdr:row>
      <xdr:rowOff>152400</xdr:rowOff>
    </xdr:from>
    <xdr:to>
      <xdr:col>4</xdr:col>
      <xdr:colOff>485775</xdr:colOff>
      <xdr:row>276</xdr:row>
      <xdr:rowOff>28575</xdr:rowOff>
    </xdr:to>
    <xdr:sp macro="" textlink="">
      <xdr:nvSpPr>
        <xdr:cNvPr id="118" name="Plus 140">
          <a:extLst>
            <a:ext uri="{FF2B5EF4-FFF2-40B4-BE49-F238E27FC236}">
              <a16:creationId xmlns:a16="http://schemas.microsoft.com/office/drawing/2014/main" id="{00000000-0008-0000-0100-000076000000}"/>
            </a:ext>
          </a:extLst>
        </xdr:cNvPr>
        <xdr:cNvSpPr/>
      </xdr:nvSpPr>
      <xdr:spPr>
        <a:xfrm>
          <a:off x="3219450" y="56492775"/>
          <a:ext cx="314325" cy="276225"/>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66675</xdr:colOff>
      <xdr:row>277</xdr:row>
      <xdr:rowOff>161925</xdr:rowOff>
    </xdr:from>
    <xdr:to>
      <xdr:col>4</xdr:col>
      <xdr:colOff>381000</xdr:colOff>
      <xdr:row>279</xdr:row>
      <xdr:rowOff>38100</xdr:rowOff>
    </xdr:to>
    <xdr:sp macro="" textlink="">
      <xdr:nvSpPr>
        <xdr:cNvPr id="119" name="Plus 120">
          <a:extLst>
            <a:ext uri="{FF2B5EF4-FFF2-40B4-BE49-F238E27FC236}">
              <a16:creationId xmlns:a16="http://schemas.microsoft.com/office/drawing/2014/main" id="{00000000-0008-0000-0100-000077000000}"/>
            </a:ext>
          </a:extLst>
        </xdr:cNvPr>
        <xdr:cNvSpPr/>
      </xdr:nvSpPr>
      <xdr:spPr>
        <a:xfrm>
          <a:off x="3114675" y="57102375"/>
          <a:ext cx="314325" cy="276225"/>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457200</xdr:colOff>
      <xdr:row>277</xdr:row>
      <xdr:rowOff>9525</xdr:rowOff>
    </xdr:from>
    <xdr:to>
      <xdr:col>4</xdr:col>
      <xdr:colOff>742949</xdr:colOff>
      <xdr:row>279</xdr:row>
      <xdr:rowOff>161925</xdr:rowOff>
    </xdr:to>
    <xdr:sp macro="" textlink="">
      <xdr:nvSpPr>
        <xdr:cNvPr id="120" name="Accolade ouvrante 119">
          <a:extLst>
            <a:ext uri="{FF2B5EF4-FFF2-40B4-BE49-F238E27FC236}">
              <a16:creationId xmlns:a16="http://schemas.microsoft.com/office/drawing/2014/main" id="{00000000-0008-0000-0100-000078000000}"/>
            </a:ext>
          </a:extLst>
        </xdr:cNvPr>
        <xdr:cNvSpPr/>
      </xdr:nvSpPr>
      <xdr:spPr>
        <a:xfrm>
          <a:off x="3505200" y="56949975"/>
          <a:ext cx="285749" cy="552450"/>
        </a:xfrm>
        <a:prstGeom prst="lef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9524</xdr:colOff>
      <xdr:row>277</xdr:row>
      <xdr:rowOff>28574</xdr:rowOff>
    </xdr:from>
    <xdr:to>
      <xdr:col>8</xdr:col>
      <xdr:colOff>190499</xdr:colOff>
      <xdr:row>279</xdr:row>
      <xdr:rowOff>171449</xdr:rowOff>
    </xdr:to>
    <xdr:sp macro="" textlink="">
      <xdr:nvSpPr>
        <xdr:cNvPr id="121" name="Accolade fermante 120">
          <a:extLst>
            <a:ext uri="{FF2B5EF4-FFF2-40B4-BE49-F238E27FC236}">
              <a16:creationId xmlns:a16="http://schemas.microsoft.com/office/drawing/2014/main" id="{00000000-0008-0000-0100-000079000000}"/>
            </a:ext>
          </a:extLst>
        </xdr:cNvPr>
        <xdr:cNvSpPr/>
      </xdr:nvSpPr>
      <xdr:spPr>
        <a:xfrm>
          <a:off x="6105524" y="56969024"/>
          <a:ext cx="180975" cy="542925"/>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8</xdr:col>
      <xdr:colOff>209550</xdr:colOff>
      <xdr:row>278</xdr:row>
      <xdr:rowOff>47624</xdr:rowOff>
    </xdr:from>
    <xdr:to>
      <xdr:col>8</xdr:col>
      <xdr:colOff>714375</xdr:colOff>
      <xdr:row>278</xdr:row>
      <xdr:rowOff>152399</xdr:rowOff>
    </xdr:to>
    <xdr:sp macro="" textlink="">
      <xdr:nvSpPr>
        <xdr:cNvPr id="122" name="Flèche droite 128">
          <a:extLst>
            <a:ext uri="{FF2B5EF4-FFF2-40B4-BE49-F238E27FC236}">
              <a16:creationId xmlns:a16="http://schemas.microsoft.com/office/drawing/2014/main" id="{00000000-0008-0000-0100-00007A000000}"/>
            </a:ext>
          </a:extLst>
        </xdr:cNvPr>
        <xdr:cNvSpPr/>
      </xdr:nvSpPr>
      <xdr:spPr>
        <a:xfrm>
          <a:off x="6305550" y="57188099"/>
          <a:ext cx="504825" cy="1047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6</xdr:col>
      <xdr:colOff>485775</xdr:colOff>
      <xdr:row>287</xdr:row>
      <xdr:rowOff>0</xdr:rowOff>
    </xdr:from>
    <xdr:to>
      <xdr:col>8</xdr:col>
      <xdr:colOff>142875</xdr:colOff>
      <xdr:row>287</xdr:row>
      <xdr:rowOff>9525</xdr:rowOff>
    </xdr:to>
    <xdr:cxnSp macro="">
      <xdr:nvCxnSpPr>
        <xdr:cNvPr id="123" name="Connecteur droit 122">
          <a:extLst>
            <a:ext uri="{FF2B5EF4-FFF2-40B4-BE49-F238E27FC236}">
              <a16:creationId xmlns:a16="http://schemas.microsoft.com/office/drawing/2014/main" id="{00000000-0008-0000-0100-00007B000000}"/>
            </a:ext>
          </a:extLst>
        </xdr:cNvPr>
        <xdr:cNvCxnSpPr/>
      </xdr:nvCxnSpPr>
      <xdr:spPr>
        <a:xfrm>
          <a:off x="5057775" y="58921650"/>
          <a:ext cx="11811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219075</xdr:colOff>
      <xdr:row>280</xdr:row>
      <xdr:rowOff>161925</xdr:rowOff>
    </xdr:from>
    <xdr:to>
      <xdr:col>4</xdr:col>
      <xdr:colOff>533400</xdr:colOff>
      <xdr:row>282</xdr:row>
      <xdr:rowOff>38100</xdr:rowOff>
    </xdr:to>
    <xdr:sp macro="" textlink="">
      <xdr:nvSpPr>
        <xdr:cNvPr id="124" name="Plus 142">
          <a:extLst>
            <a:ext uri="{FF2B5EF4-FFF2-40B4-BE49-F238E27FC236}">
              <a16:creationId xmlns:a16="http://schemas.microsoft.com/office/drawing/2014/main" id="{00000000-0008-0000-0100-00007C000000}"/>
            </a:ext>
          </a:extLst>
        </xdr:cNvPr>
        <xdr:cNvSpPr/>
      </xdr:nvSpPr>
      <xdr:spPr>
        <a:xfrm>
          <a:off x="3267075" y="57702450"/>
          <a:ext cx="314325" cy="276225"/>
        </a:xfrm>
        <a:prstGeom prst="mathPlus">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28575</xdr:colOff>
      <xdr:row>281</xdr:row>
      <xdr:rowOff>38100</xdr:rowOff>
    </xdr:from>
    <xdr:to>
      <xdr:col>8</xdr:col>
      <xdr:colOff>742950</xdr:colOff>
      <xdr:row>281</xdr:row>
      <xdr:rowOff>151257</xdr:rowOff>
    </xdr:to>
    <xdr:sp macro="" textlink="">
      <xdr:nvSpPr>
        <xdr:cNvPr id="125" name="Flèche droite 143">
          <a:extLst>
            <a:ext uri="{FF2B5EF4-FFF2-40B4-BE49-F238E27FC236}">
              <a16:creationId xmlns:a16="http://schemas.microsoft.com/office/drawing/2014/main" id="{00000000-0008-0000-0100-00007D000000}"/>
            </a:ext>
          </a:extLst>
        </xdr:cNvPr>
        <xdr:cNvSpPr/>
      </xdr:nvSpPr>
      <xdr:spPr>
        <a:xfrm>
          <a:off x="6124575" y="57778650"/>
          <a:ext cx="714375" cy="1131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8</xdr:col>
      <xdr:colOff>9525</xdr:colOff>
      <xdr:row>283</xdr:row>
      <xdr:rowOff>38100</xdr:rowOff>
    </xdr:from>
    <xdr:to>
      <xdr:col>8</xdr:col>
      <xdr:colOff>723900</xdr:colOff>
      <xdr:row>283</xdr:row>
      <xdr:rowOff>151257</xdr:rowOff>
    </xdr:to>
    <xdr:sp macro="" textlink="">
      <xdr:nvSpPr>
        <xdr:cNvPr id="126" name="Flèche droite 145">
          <a:extLst>
            <a:ext uri="{FF2B5EF4-FFF2-40B4-BE49-F238E27FC236}">
              <a16:creationId xmlns:a16="http://schemas.microsoft.com/office/drawing/2014/main" id="{00000000-0008-0000-0100-00007E000000}"/>
            </a:ext>
          </a:extLst>
        </xdr:cNvPr>
        <xdr:cNvSpPr/>
      </xdr:nvSpPr>
      <xdr:spPr>
        <a:xfrm>
          <a:off x="6105525" y="58178700"/>
          <a:ext cx="714375" cy="11315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4</xdr:col>
      <xdr:colOff>238124</xdr:colOff>
      <xdr:row>282</xdr:row>
      <xdr:rowOff>142875</xdr:rowOff>
    </xdr:from>
    <xdr:to>
      <xdr:col>4</xdr:col>
      <xdr:colOff>514349</xdr:colOff>
      <xdr:row>284</xdr:row>
      <xdr:rowOff>66675</xdr:rowOff>
    </xdr:to>
    <xdr:sp macro="" textlink="">
      <xdr:nvSpPr>
        <xdr:cNvPr id="127" name="Multiplier 146">
          <a:extLst>
            <a:ext uri="{FF2B5EF4-FFF2-40B4-BE49-F238E27FC236}">
              <a16:creationId xmlns:a16="http://schemas.microsoft.com/office/drawing/2014/main" id="{00000000-0008-0000-0100-00007F000000}"/>
            </a:ext>
          </a:extLst>
        </xdr:cNvPr>
        <xdr:cNvSpPr/>
      </xdr:nvSpPr>
      <xdr:spPr>
        <a:xfrm>
          <a:off x="3286124" y="58083450"/>
          <a:ext cx="276225" cy="32385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2</xdr:col>
      <xdr:colOff>19050</xdr:colOff>
      <xdr:row>288</xdr:row>
      <xdr:rowOff>180975</xdr:rowOff>
    </xdr:from>
    <xdr:to>
      <xdr:col>13</xdr:col>
      <xdr:colOff>28575</xdr:colOff>
      <xdr:row>289</xdr:row>
      <xdr:rowOff>9525</xdr:rowOff>
    </xdr:to>
    <xdr:cxnSp macro="">
      <xdr:nvCxnSpPr>
        <xdr:cNvPr id="128" name="Connecteur droit 127">
          <a:extLst>
            <a:ext uri="{FF2B5EF4-FFF2-40B4-BE49-F238E27FC236}">
              <a16:creationId xmlns:a16="http://schemas.microsoft.com/office/drawing/2014/main" id="{00000000-0008-0000-0100-000080000000}"/>
            </a:ext>
          </a:extLst>
        </xdr:cNvPr>
        <xdr:cNvCxnSpPr/>
      </xdr:nvCxnSpPr>
      <xdr:spPr>
        <a:xfrm>
          <a:off x="1543050" y="59302650"/>
          <a:ext cx="8391525" cy="190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381000</xdr:colOff>
      <xdr:row>295</xdr:row>
      <xdr:rowOff>161925</xdr:rowOff>
    </xdr:from>
    <xdr:to>
      <xdr:col>9</xdr:col>
      <xdr:colOff>142876</xdr:colOff>
      <xdr:row>299</xdr:row>
      <xdr:rowOff>0</xdr:rowOff>
    </xdr:to>
    <xdr:sp macro="" textlink="">
      <xdr:nvSpPr>
        <xdr:cNvPr id="129" name="Parenthèses 128">
          <a:extLst>
            <a:ext uri="{FF2B5EF4-FFF2-40B4-BE49-F238E27FC236}">
              <a16:creationId xmlns:a16="http://schemas.microsoft.com/office/drawing/2014/main" id="{00000000-0008-0000-0100-000081000000}"/>
            </a:ext>
          </a:extLst>
        </xdr:cNvPr>
        <xdr:cNvSpPr/>
      </xdr:nvSpPr>
      <xdr:spPr>
        <a:xfrm>
          <a:off x="3429000" y="60664725"/>
          <a:ext cx="3571876" cy="609600"/>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4</xdr:col>
      <xdr:colOff>485775</xdr:colOff>
      <xdr:row>297</xdr:row>
      <xdr:rowOff>0</xdr:rowOff>
    </xdr:from>
    <xdr:to>
      <xdr:col>9</xdr:col>
      <xdr:colOff>28575</xdr:colOff>
      <xdr:row>297</xdr:row>
      <xdr:rowOff>1588</xdr:rowOff>
    </xdr:to>
    <xdr:cxnSp macro="">
      <xdr:nvCxnSpPr>
        <xdr:cNvPr id="130" name="Connecteur droit 129">
          <a:extLst>
            <a:ext uri="{FF2B5EF4-FFF2-40B4-BE49-F238E27FC236}">
              <a16:creationId xmlns:a16="http://schemas.microsoft.com/office/drawing/2014/main" id="{00000000-0008-0000-0100-000082000000}"/>
            </a:ext>
          </a:extLst>
        </xdr:cNvPr>
        <xdr:cNvCxnSpPr/>
      </xdr:nvCxnSpPr>
      <xdr:spPr>
        <a:xfrm>
          <a:off x="3533775" y="60883800"/>
          <a:ext cx="3352800" cy="1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371475</xdr:colOff>
      <xdr:row>302</xdr:row>
      <xdr:rowOff>0</xdr:rowOff>
    </xdr:from>
    <xdr:to>
      <xdr:col>8</xdr:col>
      <xdr:colOff>485775</xdr:colOff>
      <xdr:row>305</xdr:row>
      <xdr:rowOff>28575</xdr:rowOff>
    </xdr:to>
    <xdr:sp macro="" textlink="">
      <xdr:nvSpPr>
        <xdr:cNvPr id="131" name="Parenthèses 130">
          <a:extLst>
            <a:ext uri="{FF2B5EF4-FFF2-40B4-BE49-F238E27FC236}">
              <a16:creationId xmlns:a16="http://schemas.microsoft.com/office/drawing/2014/main" id="{00000000-0008-0000-0100-000083000000}"/>
            </a:ext>
          </a:extLst>
        </xdr:cNvPr>
        <xdr:cNvSpPr/>
      </xdr:nvSpPr>
      <xdr:spPr>
        <a:xfrm>
          <a:off x="3419475" y="61855350"/>
          <a:ext cx="3162300" cy="609600"/>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4</xdr:col>
      <xdr:colOff>666750</xdr:colOff>
      <xdr:row>307</xdr:row>
      <xdr:rowOff>171451</xdr:rowOff>
    </xdr:from>
    <xdr:to>
      <xdr:col>6</xdr:col>
      <xdr:colOff>609600</xdr:colOff>
      <xdr:row>310</xdr:row>
      <xdr:rowOff>171450</xdr:rowOff>
    </xdr:to>
    <xdr:sp macro="" textlink="">
      <xdr:nvSpPr>
        <xdr:cNvPr id="132" name="Parenthèses 131">
          <a:extLst>
            <a:ext uri="{FF2B5EF4-FFF2-40B4-BE49-F238E27FC236}">
              <a16:creationId xmlns:a16="http://schemas.microsoft.com/office/drawing/2014/main" id="{00000000-0008-0000-0100-000084000000}"/>
            </a:ext>
          </a:extLst>
        </xdr:cNvPr>
        <xdr:cNvSpPr/>
      </xdr:nvSpPr>
      <xdr:spPr>
        <a:xfrm>
          <a:off x="3714750" y="62998351"/>
          <a:ext cx="1466850" cy="581024"/>
        </a:xfrm>
        <a:prstGeom prst="bracketPair">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fr-FR" sz="1100"/>
        </a:p>
      </xdr:txBody>
    </xdr:sp>
    <xdr:clientData/>
  </xdr:twoCellAnchor>
  <xdr:twoCellAnchor>
    <xdr:from>
      <xdr:col>5</xdr:col>
      <xdr:colOff>0</xdr:colOff>
      <xdr:row>308</xdr:row>
      <xdr:rowOff>180975</xdr:rowOff>
    </xdr:from>
    <xdr:to>
      <xdr:col>6</xdr:col>
      <xdr:colOff>514350</xdr:colOff>
      <xdr:row>309</xdr:row>
      <xdr:rowOff>0</xdr:rowOff>
    </xdr:to>
    <xdr:cxnSp macro="">
      <xdr:nvCxnSpPr>
        <xdr:cNvPr id="133" name="Connecteur droit 132">
          <a:extLst>
            <a:ext uri="{FF2B5EF4-FFF2-40B4-BE49-F238E27FC236}">
              <a16:creationId xmlns:a16="http://schemas.microsoft.com/office/drawing/2014/main" id="{00000000-0008-0000-0100-000085000000}"/>
            </a:ext>
          </a:extLst>
        </xdr:cNvPr>
        <xdr:cNvCxnSpPr/>
      </xdr:nvCxnSpPr>
      <xdr:spPr>
        <a:xfrm flipV="1">
          <a:off x="3810000" y="63198375"/>
          <a:ext cx="12763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314</xdr:row>
      <xdr:rowOff>0</xdr:rowOff>
    </xdr:from>
    <xdr:to>
      <xdr:col>15</xdr:col>
      <xdr:colOff>0</xdr:colOff>
      <xdr:row>314</xdr:row>
      <xdr:rowOff>55244</xdr:rowOff>
    </xdr:to>
    <xdr:sp macro="" textlink="">
      <xdr:nvSpPr>
        <xdr:cNvPr id="134" name="Rectangle 133">
          <a:extLst>
            <a:ext uri="{FF2B5EF4-FFF2-40B4-BE49-F238E27FC236}">
              <a16:creationId xmlns:a16="http://schemas.microsoft.com/office/drawing/2014/main" id="{00000000-0008-0000-0100-000086000000}"/>
            </a:ext>
          </a:extLst>
        </xdr:cNvPr>
        <xdr:cNvSpPr/>
      </xdr:nvSpPr>
      <xdr:spPr>
        <a:xfrm flipV="1">
          <a:off x="0" y="64208025"/>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twoCellAnchor>
    <xdr:from>
      <xdr:col>0</xdr:col>
      <xdr:colOff>0</xdr:colOff>
      <xdr:row>321</xdr:row>
      <xdr:rowOff>142875</xdr:rowOff>
    </xdr:from>
    <xdr:to>
      <xdr:col>15</xdr:col>
      <xdr:colOff>0</xdr:colOff>
      <xdr:row>321</xdr:row>
      <xdr:rowOff>198119</xdr:rowOff>
    </xdr:to>
    <xdr:sp macro="" textlink="">
      <xdr:nvSpPr>
        <xdr:cNvPr id="135" name="Rectangle 134">
          <a:extLst>
            <a:ext uri="{FF2B5EF4-FFF2-40B4-BE49-F238E27FC236}">
              <a16:creationId xmlns:a16="http://schemas.microsoft.com/office/drawing/2014/main" id="{00000000-0008-0000-0100-000087000000}"/>
            </a:ext>
          </a:extLst>
        </xdr:cNvPr>
        <xdr:cNvSpPr/>
      </xdr:nvSpPr>
      <xdr:spPr>
        <a:xfrm flipV="1">
          <a:off x="0" y="65789175"/>
          <a:ext cx="11791950" cy="5524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476250</xdr:colOff>
      <xdr:row>104</xdr:row>
      <xdr:rowOff>276224</xdr:rowOff>
    </xdr:from>
    <xdr:to>
      <xdr:col>14</xdr:col>
      <xdr:colOff>463550</xdr:colOff>
      <xdr:row>133</xdr:row>
      <xdr:rowOff>125979</xdr:rowOff>
    </xdr:to>
    <xdr:pic>
      <xdr:nvPicPr>
        <xdr:cNvPr id="2" name="Image 1" descr="Horloge de conversion minutes / centièmes d'heure">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15459074"/>
          <a:ext cx="5657850" cy="5383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3</xdr:col>
          <xdr:colOff>762000</xdr:colOff>
          <xdr:row>18</xdr:row>
          <xdr:rowOff>142875</xdr:rowOff>
        </xdr:from>
        <xdr:to>
          <xdr:col>6</xdr:col>
          <xdr:colOff>323850</xdr:colOff>
          <xdr:row>32</xdr:row>
          <xdr:rowOff>95250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2</xdr:col>
      <xdr:colOff>311150</xdr:colOff>
      <xdr:row>4</xdr:row>
      <xdr:rowOff>120650</xdr:rowOff>
    </xdr:from>
    <xdr:to>
      <xdr:col>8</xdr:col>
      <xdr:colOff>0</xdr:colOff>
      <xdr:row>4</xdr:row>
      <xdr:rowOff>120650</xdr:rowOff>
    </xdr:to>
    <xdr:sp macro="" textlink="">
      <xdr:nvSpPr>
        <xdr:cNvPr id="3" name="Line 1">
          <a:extLst>
            <a:ext uri="{FF2B5EF4-FFF2-40B4-BE49-F238E27FC236}">
              <a16:creationId xmlns:a16="http://schemas.microsoft.com/office/drawing/2014/main" id="{00000000-0008-0000-0B00-000003000000}"/>
            </a:ext>
          </a:extLst>
        </xdr:cNvPr>
        <xdr:cNvSpPr>
          <a:spLocks noChangeShapeType="1"/>
        </xdr:cNvSpPr>
      </xdr:nvSpPr>
      <xdr:spPr bwMode="auto">
        <a:xfrm>
          <a:off x="438150" y="428625"/>
          <a:ext cx="34766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317500</xdr:colOff>
      <xdr:row>4</xdr:row>
      <xdr:rowOff>0</xdr:rowOff>
    </xdr:from>
    <xdr:to>
      <xdr:col>2</xdr:col>
      <xdr:colOff>317500</xdr:colOff>
      <xdr:row>4</xdr:row>
      <xdr:rowOff>120650</xdr:rowOff>
    </xdr:to>
    <xdr:sp macro="" textlink="">
      <xdr:nvSpPr>
        <xdr:cNvPr id="4" name="Line 2">
          <a:extLst>
            <a:ext uri="{FF2B5EF4-FFF2-40B4-BE49-F238E27FC236}">
              <a16:creationId xmlns:a16="http://schemas.microsoft.com/office/drawing/2014/main" id="{00000000-0008-0000-0B00-000004000000}"/>
            </a:ext>
          </a:extLst>
        </xdr:cNvPr>
        <xdr:cNvSpPr>
          <a:spLocks noChangeShapeType="1"/>
        </xdr:cNvSpPr>
      </xdr:nvSpPr>
      <xdr:spPr bwMode="auto">
        <a:xfrm flipV="1">
          <a:off x="438150" y="304800"/>
          <a:ext cx="0" cy="1238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4</xdr:row>
      <xdr:rowOff>0</xdr:rowOff>
    </xdr:from>
    <xdr:to>
      <xdr:col>8</xdr:col>
      <xdr:colOff>0</xdr:colOff>
      <xdr:row>4</xdr:row>
      <xdr:rowOff>120650</xdr:rowOff>
    </xdr:to>
    <xdr:sp macro="" textlink="">
      <xdr:nvSpPr>
        <xdr:cNvPr id="5" name="Line 3">
          <a:extLst>
            <a:ext uri="{FF2B5EF4-FFF2-40B4-BE49-F238E27FC236}">
              <a16:creationId xmlns:a16="http://schemas.microsoft.com/office/drawing/2014/main" id="{00000000-0008-0000-0B00-000005000000}"/>
            </a:ext>
          </a:extLst>
        </xdr:cNvPr>
        <xdr:cNvSpPr>
          <a:spLocks noChangeShapeType="1"/>
        </xdr:cNvSpPr>
      </xdr:nvSpPr>
      <xdr:spPr bwMode="auto">
        <a:xfrm flipV="1">
          <a:off x="3914775" y="304800"/>
          <a:ext cx="0" cy="1238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4</xdr:row>
      <xdr:rowOff>0</xdr:rowOff>
    </xdr:from>
    <xdr:to>
      <xdr:col>5</xdr:col>
      <xdr:colOff>0</xdr:colOff>
      <xdr:row>4</xdr:row>
      <xdr:rowOff>120650</xdr:rowOff>
    </xdr:to>
    <xdr:sp macro="" textlink="">
      <xdr:nvSpPr>
        <xdr:cNvPr id="6" name="Line 4">
          <a:extLst>
            <a:ext uri="{FF2B5EF4-FFF2-40B4-BE49-F238E27FC236}">
              <a16:creationId xmlns:a16="http://schemas.microsoft.com/office/drawing/2014/main" id="{00000000-0008-0000-0B00-000006000000}"/>
            </a:ext>
          </a:extLst>
        </xdr:cNvPr>
        <xdr:cNvSpPr>
          <a:spLocks noChangeShapeType="1"/>
        </xdr:cNvSpPr>
      </xdr:nvSpPr>
      <xdr:spPr bwMode="auto">
        <a:xfrm flipH="1" flipV="1">
          <a:off x="2019300" y="304800"/>
          <a:ext cx="0" cy="1238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158750</xdr:colOff>
      <xdr:row>4</xdr:row>
      <xdr:rowOff>120650</xdr:rowOff>
    </xdr:from>
    <xdr:to>
      <xdr:col>6</xdr:col>
      <xdr:colOff>158750</xdr:colOff>
      <xdr:row>4</xdr:row>
      <xdr:rowOff>330200</xdr:rowOff>
    </xdr:to>
    <xdr:sp macro="" textlink="">
      <xdr:nvSpPr>
        <xdr:cNvPr id="7" name="Line 5">
          <a:extLst>
            <a:ext uri="{FF2B5EF4-FFF2-40B4-BE49-F238E27FC236}">
              <a16:creationId xmlns:a16="http://schemas.microsoft.com/office/drawing/2014/main" id="{00000000-0008-0000-0B00-000007000000}"/>
            </a:ext>
          </a:extLst>
        </xdr:cNvPr>
        <xdr:cNvSpPr>
          <a:spLocks noChangeShapeType="1"/>
        </xdr:cNvSpPr>
      </xdr:nvSpPr>
      <xdr:spPr bwMode="auto">
        <a:xfrm flipH="1">
          <a:off x="2790825" y="428625"/>
          <a:ext cx="0" cy="2095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342900</xdr:colOff>
      <xdr:row>6</xdr:row>
      <xdr:rowOff>123825</xdr:rowOff>
    </xdr:from>
    <xdr:to>
      <xdr:col>5</xdr:col>
      <xdr:colOff>597776</xdr:colOff>
      <xdr:row>6</xdr:row>
      <xdr:rowOff>131379</xdr:rowOff>
    </xdr:to>
    <xdr:sp macro="" textlink="">
      <xdr:nvSpPr>
        <xdr:cNvPr id="8" name="Line 6">
          <a:extLst>
            <a:ext uri="{FF2B5EF4-FFF2-40B4-BE49-F238E27FC236}">
              <a16:creationId xmlns:a16="http://schemas.microsoft.com/office/drawing/2014/main" id="{00000000-0008-0000-0B00-000008000000}"/>
            </a:ext>
          </a:extLst>
        </xdr:cNvPr>
        <xdr:cNvSpPr>
          <a:spLocks noChangeShapeType="1"/>
        </xdr:cNvSpPr>
      </xdr:nvSpPr>
      <xdr:spPr bwMode="auto">
        <a:xfrm>
          <a:off x="2628900" y="1266825"/>
          <a:ext cx="2921876" cy="755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342900</xdr:colOff>
      <xdr:row>6</xdr:row>
      <xdr:rowOff>6350</xdr:rowOff>
    </xdr:from>
    <xdr:to>
      <xdr:col>3</xdr:col>
      <xdr:colOff>342900</xdr:colOff>
      <xdr:row>6</xdr:row>
      <xdr:rowOff>120650</xdr:rowOff>
    </xdr:to>
    <xdr:sp macro="" textlink="">
      <xdr:nvSpPr>
        <xdr:cNvPr id="9" name="Line 7">
          <a:extLst>
            <a:ext uri="{FF2B5EF4-FFF2-40B4-BE49-F238E27FC236}">
              <a16:creationId xmlns:a16="http://schemas.microsoft.com/office/drawing/2014/main" id="{00000000-0008-0000-0B00-000009000000}"/>
            </a:ext>
          </a:extLst>
        </xdr:cNvPr>
        <xdr:cNvSpPr>
          <a:spLocks noChangeShapeType="1"/>
        </xdr:cNvSpPr>
      </xdr:nvSpPr>
      <xdr:spPr bwMode="auto">
        <a:xfrm flipV="1">
          <a:off x="1076325" y="838200"/>
          <a:ext cx="0" cy="11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596900</xdr:colOff>
      <xdr:row>6</xdr:row>
      <xdr:rowOff>6350</xdr:rowOff>
    </xdr:from>
    <xdr:to>
      <xdr:col>5</xdr:col>
      <xdr:colOff>596900</xdr:colOff>
      <xdr:row>6</xdr:row>
      <xdr:rowOff>120650</xdr:rowOff>
    </xdr:to>
    <xdr:sp macro="" textlink="">
      <xdr:nvSpPr>
        <xdr:cNvPr id="10" name="Line 8">
          <a:extLst>
            <a:ext uri="{FF2B5EF4-FFF2-40B4-BE49-F238E27FC236}">
              <a16:creationId xmlns:a16="http://schemas.microsoft.com/office/drawing/2014/main" id="{00000000-0008-0000-0B00-00000A000000}"/>
            </a:ext>
          </a:extLst>
        </xdr:cNvPr>
        <xdr:cNvSpPr>
          <a:spLocks noChangeShapeType="1"/>
        </xdr:cNvSpPr>
      </xdr:nvSpPr>
      <xdr:spPr bwMode="auto">
        <a:xfrm flipV="1">
          <a:off x="2619375" y="838200"/>
          <a:ext cx="0" cy="11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311150</xdr:colOff>
      <xdr:row>6</xdr:row>
      <xdr:rowOff>120650</xdr:rowOff>
    </xdr:from>
    <xdr:to>
      <xdr:col>5</xdr:col>
      <xdr:colOff>311150</xdr:colOff>
      <xdr:row>6</xdr:row>
      <xdr:rowOff>317500</xdr:rowOff>
    </xdr:to>
    <xdr:sp macro="" textlink="">
      <xdr:nvSpPr>
        <xdr:cNvPr id="11" name="Line 10">
          <a:extLst>
            <a:ext uri="{FF2B5EF4-FFF2-40B4-BE49-F238E27FC236}">
              <a16:creationId xmlns:a16="http://schemas.microsoft.com/office/drawing/2014/main" id="{00000000-0008-0000-0B00-00000B000000}"/>
            </a:ext>
          </a:extLst>
        </xdr:cNvPr>
        <xdr:cNvSpPr>
          <a:spLocks noChangeShapeType="1"/>
        </xdr:cNvSpPr>
      </xdr:nvSpPr>
      <xdr:spPr bwMode="auto">
        <a:xfrm>
          <a:off x="2333625" y="952500"/>
          <a:ext cx="0" cy="190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349250</xdr:colOff>
      <xdr:row>8</xdr:row>
      <xdr:rowOff>120650</xdr:rowOff>
    </xdr:from>
    <xdr:to>
      <xdr:col>5</xdr:col>
      <xdr:colOff>590550</xdr:colOff>
      <xdr:row>8</xdr:row>
      <xdr:rowOff>120650</xdr:rowOff>
    </xdr:to>
    <xdr:sp macro="" textlink="">
      <xdr:nvSpPr>
        <xdr:cNvPr id="12" name="Line 11">
          <a:extLst>
            <a:ext uri="{FF2B5EF4-FFF2-40B4-BE49-F238E27FC236}">
              <a16:creationId xmlns:a16="http://schemas.microsoft.com/office/drawing/2014/main" id="{00000000-0008-0000-0B00-00000C000000}"/>
            </a:ext>
          </a:extLst>
        </xdr:cNvPr>
        <xdr:cNvSpPr>
          <a:spLocks noChangeShapeType="1"/>
        </xdr:cNvSpPr>
      </xdr:nvSpPr>
      <xdr:spPr bwMode="auto">
        <a:xfrm>
          <a:off x="1085850" y="1476375"/>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368300</xdr:colOff>
      <xdr:row>8</xdr:row>
      <xdr:rowOff>6350</xdr:rowOff>
    </xdr:from>
    <xdr:to>
      <xdr:col>3</xdr:col>
      <xdr:colOff>368300</xdr:colOff>
      <xdr:row>8</xdr:row>
      <xdr:rowOff>120650</xdr:rowOff>
    </xdr:to>
    <xdr:sp macro="" textlink="">
      <xdr:nvSpPr>
        <xdr:cNvPr id="13" name="Line 12">
          <a:extLst>
            <a:ext uri="{FF2B5EF4-FFF2-40B4-BE49-F238E27FC236}">
              <a16:creationId xmlns:a16="http://schemas.microsoft.com/office/drawing/2014/main" id="{00000000-0008-0000-0B00-00000D000000}"/>
            </a:ext>
          </a:extLst>
        </xdr:cNvPr>
        <xdr:cNvSpPr>
          <a:spLocks noChangeShapeType="1"/>
        </xdr:cNvSpPr>
      </xdr:nvSpPr>
      <xdr:spPr bwMode="auto">
        <a:xfrm flipV="1">
          <a:off x="1104900" y="1362075"/>
          <a:ext cx="0" cy="11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596900</xdr:colOff>
      <xdr:row>8</xdr:row>
      <xdr:rowOff>0</xdr:rowOff>
    </xdr:from>
    <xdr:to>
      <xdr:col>5</xdr:col>
      <xdr:colOff>596900</xdr:colOff>
      <xdr:row>8</xdr:row>
      <xdr:rowOff>120650</xdr:rowOff>
    </xdr:to>
    <xdr:sp macro="" textlink="">
      <xdr:nvSpPr>
        <xdr:cNvPr id="14" name="Line 13">
          <a:extLst>
            <a:ext uri="{FF2B5EF4-FFF2-40B4-BE49-F238E27FC236}">
              <a16:creationId xmlns:a16="http://schemas.microsoft.com/office/drawing/2014/main" id="{00000000-0008-0000-0B00-00000E000000}"/>
            </a:ext>
          </a:extLst>
        </xdr:cNvPr>
        <xdr:cNvSpPr>
          <a:spLocks noChangeShapeType="1"/>
        </xdr:cNvSpPr>
      </xdr:nvSpPr>
      <xdr:spPr bwMode="auto">
        <a:xfrm flipV="1">
          <a:off x="2619375" y="1352550"/>
          <a:ext cx="0" cy="1238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12700</xdr:colOff>
      <xdr:row>8</xdr:row>
      <xdr:rowOff>120650</xdr:rowOff>
    </xdr:from>
    <xdr:to>
      <xdr:col>4</xdr:col>
      <xdr:colOff>12700</xdr:colOff>
      <xdr:row>9</xdr:row>
      <xdr:rowOff>12700</xdr:rowOff>
    </xdr:to>
    <xdr:sp macro="" textlink="">
      <xdr:nvSpPr>
        <xdr:cNvPr id="15" name="Line 14">
          <a:extLst>
            <a:ext uri="{FF2B5EF4-FFF2-40B4-BE49-F238E27FC236}">
              <a16:creationId xmlns:a16="http://schemas.microsoft.com/office/drawing/2014/main" id="{00000000-0008-0000-0B00-00000F000000}"/>
            </a:ext>
          </a:extLst>
        </xdr:cNvPr>
        <xdr:cNvSpPr>
          <a:spLocks noChangeShapeType="1"/>
        </xdr:cNvSpPr>
      </xdr:nvSpPr>
      <xdr:spPr bwMode="auto">
        <a:xfrm flipH="1">
          <a:off x="1419225" y="1476375"/>
          <a:ext cx="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0</xdr:colOff>
      <xdr:row>11</xdr:row>
      <xdr:rowOff>114300</xdr:rowOff>
    </xdr:from>
    <xdr:to>
      <xdr:col>7</xdr:col>
      <xdr:colOff>0</xdr:colOff>
      <xdr:row>11</xdr:row>
      <xdr:rowOff>114300</xdr:rowOff>
    </xdr:to>
    <xdr:sp macro="" textlink="">
      <xdr:nvSpPr>
        <xdr:cNvPr id="16" name="Line 15">
          <a:extLst>
            <a:ext uri="{FF2B5EF4-FFF2-40B4-BE49-F238E27FC236}">
              <a16:creationId xmlns:a16="http://schemas.microsoft.com/office/drawing/2014/main" id="{00000000-0008-0000-0B00-000010000000}"/>
            </a:ext>
          </a:extLst>
        </xdr:cNvPr>
        <xdr:cNvSpPr>
          <a:spLocks noChangeShapeType="1"/>
        </xdr:cNvSpPr>
      </xdr:nvSpPr>
      <xdr:spPr bwMode="auto">
        <a:xfrm>
          <a:off x="1409700" y="2171700"/>
          <a:ext cx="189547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11</xdr:row>
      <xdr:rowOff>6350</xdr:rowOff>
    </xdr:from>
    <xdr:to>
      <xdr:col>4</xdr:col>
      <xdr:colOff>0</xdr:colOff>
      <xdr:row>11</xdr:row>
      <xdr:rowOff>107950</xdr:rowOff>
    </xdr:to>
    <xdr:sp macro="" textlink="">
      <xdr:nvSpPr>
        <xdr:cNvPr id="17" name="Line 16">
          <a:extLst>
            <a:ext uri="{FF2B5EF4-FFF2-40B4-BE49-F238E27FC236}">
              <a16:creationId xmlns:a16="http://schemas.microsoft.com/office/drawing/2014/main" id="{00000000-0008-0000-0B00-000011000000}"/>
            </a:ext>
          </a:extLst>
        </xdr:cNvPr>
        <xdr:cNvSpPr>
          <a:spLocks noChangeShapeType="1"/>
        </xdr:cNvSpPr>
      </xdr:nvSpPr>
      <xdr:spPr bwMode="auto">
        <a:xfrm flipV="1">
          <a:off x="1409700" y="2066925"/>
          <a:ext cx="0" cy="95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11</xdr:row>
      <xdr:rowOff>0</xdr:rowOff>
    </xdr:from>
    <xdr:to>
      <xdr:col>7</xdr:col>
      <xdr:colOff>0</xdr:colOff>
      <xdr:row>11</xdr:row>
      <xdr:rowOff>114300</xdr:rowOff>
    </xdr:to>
    <xdr:sp macro="" textlink="">
      <xdr:nvSpPr>
        <xdr:cNvPr id="18" name="Line 18">
          <a:extLst>
            <a:ext uri="{FF2B5EF4-FFF2-40B4-BE49-F238E27FC236}">
              <a16:creationId xmlns:a16="http://schemas.microsoft.com/office/drawing/2014/main" id="{00000000-0008-0000-0B00-000012000000}"/>
            </a:ext>
          </a:extLst>
        </xdr:cNvPr>
        <xdr:cNvSpPr>
          <a:spLocks noChangeShapeType="1"/>
        </xdr:cNvSpPr>
      </xdr:nvSpPr>
      <xdr:spPr bwMode="auto">
        <a:xfrm flipV="1">
          <a:off x="3305175" y="2057400"/>
          <a:ext cx="0" cy="11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11</xdr:row>
      <xdr:rowOff>114300</xdr:rowOff>
    </xdr:from>
    <xdr:to>
      <xdr:col>5</xdr:col>
      <xdr:colOff>0</xdr:colOff>
      <xdr:row>12</xdr:row>
      <xdr:rowOff>0</xdr:rowOff>
    </xdr:to>
    <xdr:sp macro="" textlink="">
      <xdr:nvSpPr>
        <xdr:cNvPr id="19" name="Line 19">
          <a:extLst>
            <a:ext uri="{FF2B5EF4-FFF2-40B4-BE49-F238E27FC236}">
              <a16:creationId xmlns:a16="http://schemas.microsoft.com/office/drawing/2014/main" id="{00000000-0008-0000-0B00-000013000000}"/>
            </a:ext>
          </a:extLst>
        </xdr:cNvPr>
        <xdr:cNvSpPr>
          <a:spLocks noChangeShapeType="1"/>
        </xdr:cNvSpPr>
      </xdr:nvSpPr>
      <xdr:spPr bwMode="auto">
        <a:xfrm>
          <a:off x="2019300" y="2171700"/>
          <a:ext cx="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13</xdr:row>
      <xdr:rowOff>114300</xdr:rowOff>
    </xdr:from>
    <xdr:to>
      <xdr:col>7</xdr:col>
      <xdr:colOff>292100</xdr:colOff>
      <xdr:row>13</xdr:row>
      <xdr:rowOff>114300</xdr:rowOff>
    </xdr:to>
    <xdr:sp macro="" textlink="">
      <xdr:nvSpPr>
        <xdr:cNvPr id="20" name="Line 20">
          <a:extLst>
            <a:ext uri="{FF2B5EF4-FFF2-40B4-BE49-F238E27FC236}">
              <a16:creationId xmlns:a16="http://schemas.microsoft.com/office/drawing/2014/main" id="{00000000-0008-0000-0B00-000014000000}"/>
            </a:ext>
          </a:extLst>
        </xdr:cNvPr>
        <xdr:cNvSpPr>
          <a:spLocks noChangeShapeType="1"/>
        </xdr:cNvSpPr>
      </xdr:nvSpPr>
      <xdr:spPr bwMode="auto">
        <a:xfrm>
          <a:off x="2019300" y="2695575"/>
          <a:ext cx="15811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13</xdr:row>
      <xdr:rowOff>0</xdr:rowOff>
    </xdr:from>
    <xdr:to>
      <xdr:col>5</xdr:col>
      <xdr:colOff>0</xdr:colOff>
      <xdr:row>13</xdr:row>
      <xdr:rowOff>114300</xdr:rowOff>
    </xdr:to>
    <xdr:sp macro="" textlink="">
      <xdr:nvSpPr>
        <xdr:cNvPr id="21" name="Line 21">
          <a:extLst>
            <a:ext uri="{FF2B5EF4-FFF2-40B4-BE49-F238E27FC236}">
              <a16:creationId xmlns:a16="http://schemas.microsoft.com/office/drawing/2014/main" id="{00000000-0008-0000-0B00-000015000000}"/>
            </a:ext>
          </a:extLst>
        </xdr:cNvPr>
        <xdr:cNvSpPr>
          <a:spLocks noChangeShapeType="1"/>
        </xdr:cNvSpPr>
      </xdr:nvSpPr>
      <xdr:spPr bwMode="auto">
        <a:xfrm flipV="1">
          <a:off x="2019300" y="2581275"/>
          <a:ext cx="0" cy="114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279400</xdr:colOff>
      <xdr:row>13</xdr:row>
      <xdr:rowOff>6350</xdr:rowOff>
    </xdr:from>
    <xdr:to>
      <xdr:col>7</xdr:col>
      <xdr:colOff>279400</xdr:colOff>
      <xdr:row>13</xdr:row>
      <xdr:rowOff>107950</xdr:rowOff>
    </xdr:to>
    <xdr:sp macro="" textlink="">
      <xdr:nvSpPr>
        <xdr:cNvPr id="22" name="Line 22">
          <a:extLst>
            <a:ext uri="{FF2B5EF4-FFF2-40B4-BE49-F238E27FC236}">
              <a16:creationId xmlns:a16="http://schemas.microsoft.com/office/drawing/2014/main" id="{00000000-0008-0000-0B00-000016000000}"/>
            </a:ext>
          </a:extLst>
        </xdr:cNvPr>
        <xdr:cNvSpPr>
          <a:spLocks noChangeShapeType="1"/>
        </xdr:cNvSpPr>
      </xdr:nvSpPr>
      <xdr:spPr bwMode="auto">
        <a:xfrm flipV="1">
          <a:off x="3581400" y="2590800"/>
          <a:ext cx="0" cy="952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101600</xdr:colOff>
      <xdr:row>13</xdr:row>
      <xdr:rowOff>114300</xdr:rowOff>
    </xdr:from>
    <xdr:to>
      <xdr:col>6</xdr:col>
      <xdr:colOff>101600</xdr:colOff>
      <xdr:row>13</xdr:row>
      <xdr:rowOff>336550</xdr:rowOff>
    </xdr:to>
    <xdr:sp macro="" textlink="">
      <xdr:nvSpPr>
        <xdr:cNvPr id="23" name="Line 23">
          <a:extLst>
            <a:ext uri="{FF2B5EF4-FFF2-40B4-BE49-F238E27FC236}">
              <a16:creationId xmlns:a16="http://schemas.microsoft.com/office/drawing/2014/main" id="{00000000-0008-0000-0B00-000017000000}"/>
            </a:ext>
          </a:extLst>
        </xdr:cNvPr>
        <xdr:cNvSpPr>
          <a:spLocks noChangeShapeType="1"/>
        </xdr:cNvSpPr>
      </xdr:nvSpPr>
      <xdr:spPr bwMode="auto">
        <a:xfrm>
          <a:off x="2733675" y="2695575"/>
          <a:ext cx="0" cy="2190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333375</xdr:colOff>
      <xdr:row>15</xdr:row>
      <xdr:rowOff>85396</xdr:rowOff>
    </xdr:from>
    <xdr:to>
      <xdr:col>6</xdr:col>
      <xdr:colOff>6569</xdr:colOff>
      <xdr:row>15</xdr:row>
      <xdr:rowOff>104775</xdr:rowOff>
    </xdr:to>
    <xdr:sp macro="" textlink="">
      <xdr:nvSpPr>
        <xdr:cNvPr id="24" name="Line 24">
          <a:extLst>
            <a:ext uri="{FF2B5EF4-FFF2-40B4-BE49-F238E27FC236}">
              <a16:creationId xmlns:a16="http://schemas.microsoft.com/office/drawing/2014/main" id="{00000000-0008-0000-0B00-000018000000}"/>
            </a:ext>
          </a:extLst>
        </xdr:cNvPr>
        <xdr:cNvSpPr>
          <a:spLocks noChangeShapeType="1"/>
        </xdr:cNvSpPr>
      </xdr:nvSpPr>
      <xdr:spPr bwMode="auto">
        <a:xfrm flipV="1">
          <a:off x="2619375" y="3002017"/>
          <a:ext cx="3200728" cy="19379"/>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342900</xdr:colOff>
      <xdr:row>15</xdr:row>
      <xdr:rowOff>101600</xdr:rowOff>
    </xdr:from>
    <xdr:to>
      <xdr:col>3</xdr:col>
      <xdr:colOff>355600</xdr:colOff>
      <xdr:row>15</xdr:row>
      <xdr:rowOff>101600</xdr:rowOff>
    </xdr:to>
    <xdr:sp macro="" textlink="">
      <xdr:nvSpPr>
        <xdr:cNvPr id="25" name="Line 25">
          <a:extLst>
            <a:ext uri="{FF2B5EF4-FFF2-40B4-BE49-F238E27FC236}">
              <a16:creationId xmlns:a16="http://schemas.microsoft.com/office/drawing/2014/main" id="{00000000-0008-0000-0B00-000019000000}"/>
            </a:ext>
          </a:extLst>
        </xdr:cNvPr>
        <xdr:cNvSpPr>
          <a:spLocks noChangeShapeType="1"/>
        </xdr:cNvSpPr>
      </xdr:nvSpPr>
      <xdr:spPr bwMode="auto">
        <a:xfrm flipH="1">
          <a:off x="1076325" y="3209925"/>
          <a:ext cx="95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330200</xdr:colOff>
      <xdr:row>15</xdr:row>
      <xdr:rowOff>0</xdr:rowOff>
    </xdr:from>
    <xdr:to>
      <xdr:col>3</xdr:col>
      <xdr:colOff>330200</xdr:colOff>
      <xdr:row>15</xdr:row>
      <xdr:rowOff>101600</xdr:rowOff>
    </xdr:to>
    <xdr:sp macro="" textlink="">
      <xdr:nvSpPr>
        <xdr:cNvPr id="26" name="Line 26">
          <a:extLst>
            <a:ext uri="{FF2B5EF4-FFF2-40B4-BE49-F238E27FC236}">
              <a16:creationId xmlns:a16="http://schemas.microsoft.com/office/drawing/2014/main" id="{00000000-0008-0000-0B00-00001A000000}"/>
            </a:ext>
          </a:extLst>
        </xdr:cNvPr>
        <xdr:cNvSpPr>
          <a:spLocks noChangeShapeType="1"/>
        </xdr:cNvSpPr>
      </xdr:nvSpPr>
      <xdr:spPr bwMode="auto">
        <a:xfrm flipV="1">
          <a:off x="1066800" y="3105150"/>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15</xdr:row>
      <xdr:rowOff>0</xdr:rowOff>
    </xdr:from>
    <xdr:to>
      <xdr:col>6</xdr:col>
      <xdr:colOff>0</xdr:colOff>
      <xdr:row>15</xdr:row>
      <xdr:rowOff>101600</xdr:rowOff>
    </xdr:to>
    <xdr:sp macro="" textlink="">
      <xdr:nvSpPr>
        <xdr:cNvPr id="27" name="Line 27">
          <a:extLst>
            <a:ext uri="{FF2B5EF4-FFF2-40B4-BE49-F238E27FC236}">
              <a16:creationId xmlns:a16="http://schemas.microsoft.com/office/drawing/2014/main" id="{00000000-0008-0000-0B00-00001B000000}"/>
            </a:ext>
          </a:extLst>
        </xdr:cNvPr>
        <xdr:cNvSpPr>
          <a:spLocks noChangeShapeType="1"/>
        </xdr:cNvSpPr>
      </xdr:nvSpPr>
      <xdr:spPr bwMode="auto">
        <a:xfrm flipH="1" flipV="1">
          <a:off x="2628900" y="3105150"/>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438150</xdr:colOff>
      <xdr:row>15</xdr:row>
      <xdr:rowOff>101600</xdr:rowOff>
    </xdr:from>
    <xdr:to>
      <xdr:col>4</xdr:col>
      <xdr:colOff>438150</xdr:colOff>
      <xdr:row>15</xdr:row>
      <xdr:rowOff>330200</xdr:rowOff>
    </xdr:to>
    <xdr:sp macro="" textlink="">
      <xdr:nvSpPr>
        <xdr:cNvPr id="28" name="Line 28">
          <a:extLst>
            <a:ext uri="{FF2B5EF4-FFF2-40B4-BE49-F238E27FC236}">
              <a16:creationId xmlns:a16="http://schemas.microsoft.com/office/drawing/2014/main" id="{00000000-0008-0000-0B00-00001C000000}"/>
            </a:ext>
          </a:extLst>
        </xdr:cNvPr>
        <xdr:cNvSpPr>
          <a:spLocks noChangeShapeType="1"/>
        </xdr:cNvSpPr>
      </xdr:nvSpPr>
      <xdr:spPr bwMode="auto">
        <a:xfrm flipH="1">
          <a:off x="1847850" y="3209925"/>
          <a:ext cx="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123825</xdr:rowOff>
    </xdr:from>
    <xdr:to>
      <xdr:col>0</xdr:col>
      <xdr:colOff>2286000</xdr:colOff>
      <xdr:row>3</xdr:row>
      <xdr:rowOff>733425</xdr:rowOff>
    </xdr:to>
    <xdr:pic>
      <xdr:nvPicPr>
        <xdr:cNvPr id="3" name="Picture 4" descr="belloy">
          <a:extLst>
            <a:ext uri="{FF2B5EF4-FFF2-40B4-BE49-F238E27FC236}">
              <a16:creationId xmlns:a16="http://schemas.microsoft.com/office/drawing/2014/main" id="{55314EB8-0A3A-4556-9560-EFAB781C4714}"/>
            </a:ext>
          </a:extLst>
        </xdr:cNvPr>
        <xdr:cNvPicPr>
          <a:picLocks noChangeAspect="1" noChangeArrowheads="1"/>
        </xdr:cNvPicPr>
      </xdr:nvPicPr>
      <xdr:blipFill>
        <a:blip xmlns:r="http://schemas.openxmlformats.org/officeDocument/2006/relationships" r:embed="rId1">
          <a:grayscl/>
          <a:extLst>
            <a:ext uri="{28A0092B-C50C-407E-A947-70E740481C1C}">
              <a14:useLocalDpi xmlns:a14="http://schemas.microsoft.com/office/drawing/2010/main" val="0"/>
            </a:ext>
          </a:extLst>
        </a:blip>
        <a:srcRect l="28041" t="33630" r="37784" b="46655"/>
        <a:stretch>
          <a:fillRect/>
        </a:stretch>
      </xdr:blipFill>
      <xdr:spPr bwMode="auto">
        <a:xfrm>
          <a:off x="0" y="11087100"/>
          <a:ext cx="22860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114300</xdr:colOff>
      <xdr:row>44</xdr:row>
      <xdr:rowOff>200025</xdr:rowOff>
    </xdr:from>
    <xdr:to>
      <xdr:col>0</xdr:col>
      <xdr:colOff>2400300</xdr:colOff>
      <xdr:row>47</xdr:row>
      <xdr:rowOff>76200</xdr:rowOff>
    </xdr:to>
    <xdr:pic>
      <xdr:nvPicPr>
        <xdr:cNvPr id="5" name="Picture 4" descr="belloy">
          <a:extLst>
            <a:ext uri="{FF2B5EF4-FFF2-40B4-BE49-F238E27FC236}">
              <a16:creationId xmlns:a16="http://schemas.microsoft.com/office/drawing/2014/main" id="{4AEBA827-3746-429D-BCAA-B31207D1141E}"/>
            </a:ext>
          </a:extLst>
        </xdr:cNvPr>
        <xdr:cNvPicPr>
          <a:picLocks noChangeAspect="1" noChangeArrowheads="1"/>
        </xdr:cNvPicPr>
      </xdr:nvPicPr>
      <xdr:blipFill>
        <a:blip xmlns:r="http://schemas.openxmlformats.org/officeDocument/2006/relationships" r:embed="rId1">
          <a:grayscl/>
          <a:extLst>
            <a:ext uri="{28A0092B-C50C-407E-A947-70E740481C1C}">
              <a14:useLocalDpi xmlns:a14="http://schemas.microsoft.com/office/drawing/2010/main" val="0"/>
            </a:ext>
          </a:extLst>
        </a:blip>
        <a:srcRect l="28041" t="33630" r="37784" b="46655"/>
        <a:stretch>
          <a:fillRect/>
        </a:stretch>
      </xdr:blipFill>
      <xdr:spPr bwMode="auto">
        <a:xfrm>
          <a:off x="114300" y="33061275"/>
          <a:ext cx="22860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val%20EdP.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4_AUTRES\C&#233;dric\EDP%20n&#176;36%20+37%20+%20trame%202018%20de%20bo%20goss\trame%20etude%20de%20prix\exercice%20p%2036%20calculer%20un%20prix%20de%20ven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o&#251;t%20Prix%20Devis.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E:\4_AUTRES\Walid\trame%20etude%20rpix%20Henri.xls" TargetMode="External"/><Relationship Id="rId1" Type="http://schemas.openxmlformats.org/officeDocument/2006/relationships/externalLinkPath" Target="file:///D:\4_AUTRES\Walid\trame%20etude%20rpix%20Henr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ésentation"/>
      <sheetName val="Métré"/>
      <sheetName val="CHM"/>
      <sheetName val="Mtx. rend. Chan."/>
      <sheetName val="MORTIER"/>
      <sheetName val="BETON"/>
      <sheetName val="ACIER"/>
      <sheetName val="COFF"/>
      <sheetName val="S.D"/>
      <sheetName val="S.D (2)"/>
      <sheetName val="S.D (3)"/>
      <sheetName val="S.D (4)"/>
      <sheetName val="S.D (5)"/>
      <sheetName val="S.D (6)"/>
      <sheetName val="S.D (7)"/>
      <sheetName val="S.D (8)"/>
      <sheetName val="S.D (9)"/>
      <sheetName val="S.D (10)"/>
      <sheetName val="S.D (11)"/>
      <sheetName val="S.D (12)"/>
      <sheetName val="S.D (13)"/>
      <sheetName val="S.D (14)"/>
      <sheetName val="S.D (15)"/>
      <sheetName val="S.D (16)"/>
      <sheetName val="S.D (17)"/>
      <sheetName val="Calcul des prix"/>
      <sheetName val="Coef. Vente"/>
      <sheetName val="Organigrame "/>
      <sheetName val="Feuil1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au de ventilation ex 13"/>
      <sheetName val="tableau des coef."/>
      <sheetName val="tableau de ventilation ex 1"/>
      <sheetName val="tableau de ventilation ex 2-1"/>
      <sheetName val="TDV ex 2-1"/>
      <sheetName val="Feuille de vente ex 2-1"/>
      <sheetName val="tableau de ventilation ex 2-2"/>
      <sheetName val="Déroulé feuille de vente"/>
      <sheetName val="total entreprise sous-traitant"/>
      <sheetName val="calcul des prix"/>
      <sheetName val="Feuil1"/>
    </sheetNames>
    <sheetDataSet>
      <sheetData sheetId="0"/>
      <sheetData sheetId="1">
        <row r="16">
          <cell r="D16" t="str">
            <v>sur le DS</v>
          </cell>
        </row>
        <row r="17">
          <cell r="D17" t="str">
            <v>sur le DT</v>
          </cell>
        </row>
        <row r="18">
          <cell r="D18" t="str">
            <v>sur le PR</v>
          </cell>
        </row>
        <row r="19">
          <cell r="D19" t="str">
            <v>sur le PV H.T.</v>
          </cell>
        </row>
      </sheetData>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Cout horaire main d'oeuvre"/>
      <sheetName val="prix des matériaux rendus décha"/>
      <sheetName val="Coût engin"/>
      <sheetName val="Prix de fabrication des bétons"/>
      <sheetName val="prix de fabrication des mortier"/>
      <sheetName val="prix des faconnages de aciers"/>
      <sheetName val="prix des coffrages"/>
      <sheetName val="SOUS DETAIL DE PRIX UNITAIRE"/>
      <sheetName val="SOUS DETAIL DE PRIX UNITAIR (2)"/>
      <sheetName val="SOUS DETAIL DE PRIX UNITAIR (3)"/>
      <sheetName val="Coef. Vente"/>
      <sheetName val="Calcul des prix"/>
      <sheetName val="devis estimatif"/>
      <sheetName val="feuille de vente2"/>
      <sheetName val="feuille de vente2 (2)"/>
    </sheetNames>
    <sheetDataSet>
      <sheetData sheetId="0">
        <row r="1">
          <cell r="B1" t="str">
            <v>Salaire horaire</v>
          </cell>
          <cell r="C1" t="str">
            <v>Coef.</v>
          </cell>
          <cell r="G1" t="str">
            <v>zones</v>
          </cell>
          <cell r="I1" t="str">
            <v>repas</v>
          </cell>
          <cell r="J1" t="str">
            <v>trajet</v>
          </cell>
          <cell r="K1" t="str">
            <v>transport</v>
          </cell>
        </row>
        <row r="2">
          <cell r="A2" t="str">
            <v>OE1</v>
          </cell>
          <cell r="B2">
            <v>9.68</v>
          </cell>
          <cell r="C2">
            <v>150</v>
          </cell>
          <cell r="G2">
            <v>1</v>
          </cell>
          <cell r="H2" t="str">
            <v>0 à 10 km</v>
          </cell>
          <cell r="I2">
            <v>10.25</v>
          </cell>
          <cell r="J2">
            <v>1.4</v>
          </cell>
          <cell r="K2">
            <v>1.4</v>
          </cell>
        </row>
        <row r="3">
          <cell r="A3" t="str">
            <v>OE2</v>
          </cell>
          <cell r="B3">
            <v>9.75</v>
          </cell>
          <cell r="C3">
            <v>170</v>
          </cell>
          <cell r="G3">
            <v>2</v>
          </cell>
          <cell r="H3" t="str">
            <v>11 à 20 km</v>
          </cell>
          <cell r="I3">
            <v>10.25</v>
          </cell>
          <cell r="J3">
            <v>4.2</v>
          </cell>
          <cell r="K3">
            <v>2.8</v>
          </cell>
        </row>
        <row r="4">
          <cell r="A4" t="str">
            <v>OP</v>
          </cell>
          <cell r="B4">
            <v>10.01</v>
          </cell>
          <cell r="C4">
            <v>185</v>
          </cell>
          <cell r="G4">
            <v>3</v>
          </cell>
          <cell r="H4" t="str">
            <v>21 à 30 km</v>
          </cell>
          <cell r="I4">
            <v>10.25</v>
          </cell>
          <cell r="J4">
            <v>7</v>
          </cell>
          <cell r="K4">
            <v>4.2</v>
          </cell>
        </row>
        <row r="5">
          <cell r="A5" t="str">
            <v>CP1</v>
          </cell>
          <cell r="B5">
            <v>10.48</v>
          </cell>
          <cell r="C5">
            <v>210</v>
          </cell>
          <cell r="G5">
            <v>4</v>
          </cell>
          <cell r="H5" t="str">
            <v>31 à 40 km</v>
          </cell>
          <cell r="I5">
            <v>10.25</v>
          </cell>
          <cell r="J5">
            <v>9.8000000000000007</v>
          </cell>
          <cell r="K5">
            <v>5.6</v>
          </cell>
        </row>
        <row r="6">
          <cell r="A6" t="str">
            <v>CP2</v>
          </cell>
          <cell r="B6">
            <v>11.26</v>
          </cell>
          <cell r="C6">
            <v>230</v>
          </cell>
          <cell r="G6">
            <v>5</v>
          </cell>
          <cell r="H6" t="str">
            <v>41 à 50 km</v>
          </cell>
          <cell r="I6">
            <v>10.25</v>
          </cell>
          <cell r="J6">
            <v>12.6</v>
          </cell>
          <cell r="K6">
            <v>7</v>
          </cell>
        </row>
        <row r="7">
          <cell r="A7" t="str">
            <v>CE1</v>
          </cell>
          <cell r="B7">
            <v>12.03</v>
          </cell>
          <cell r="C7">
            <v>250</v>
          </cell>
        </row>
        <row r="8">
          <cell r="A8" t="str">
            <v>CE2</v>
          </cell>
          <cell r="B8">
            <v>12.84</v>
          </cell>
          <cell r="C8">
            <v>270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
      <sheetName val="MATERIAUX"/>
      <sheetName val="MORTIER"/>
      <sheetName val="BETON"/>
      <sheetName val="COFFRAGE"/>
      <sheetName val="ACIER"/>
      <sheetName val="SOUS DETAIL sans CR"/>
      <sheetName val="SOUS DETAIL avec CR"/>
      <sheetName val="Calculs des  Prix DS"/>
      <sheetName val="Feuille DEVIS "/>
      <sheetName val="FEUILLE DEVIS 2"/>
      <sheetName val="Feuille Vente"/>
      <sheetName val="Feuille Calc Coef"/>
    </sheetNames>
    <sheetDataSet>
      <sheetData sheetId="0"/>
      <sheetData sheetId="1"/>
      <sheetData sheetId="2"/>
      <sheetData sheetId="3"/>
      <sheetData sheetId="4"/>
      <sheetData sheetId="5"/>
      <sheetData sheetId="6"/>
      <sheetData sheetId="7"/>
      <sheetData sheetId="8">
        <row r="99">
          <cell r="J99">
            <v>0</v>
          </cell>
        </row>
      </sheetData>
      <sheetData sheetId="9"/>
      <sheetData sheetId="10"/>
      <sheetData sheetId="11"/>
      <sheetData sheetId="12"/>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Microsoft_Excel_97-2003_Worksheet.xls"/></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4A1C-0E68-44CB-99B7-5A0EABAAA100}">
  <sheetPr codeName="Feuil5"/>
  <dimension ref="B3:J27"/>
  <sheetViews>
    <sheetView workbookViewId="0">
      <selection activeCell="D15" sqref="D15"/>
    </sheetView>
  </sheetViews>
  <sheetFormatPr baseColWidth="10" defaultColWidth="10.85546875" defaultRowHeight="15" x14ac:dyDescent="0.25"/>
  <cols>
    <col min="1" max="16384" width="10.85546875" style="20"/>
  </cols>
  <sheetData>
    <row r="3" spans="2:10" x14ac:dyDescent="0.25">
      <c r="B3" s="39" t="s">
        <v>11</v>
      </c>
      <c r="C3" s="39">
        <v>1</v>
      </c>
    </row>
    <row r="4" spans="2:10" x14ac:dyDescent="0.25">
      <c r="B4" s="39" t="s">
        <v>12</v>
      </c>
      <c r="C4" s="39">
        <v>2</v>
      </c>
    </row>
    <row r="5" spans="2:10" x14ac:dyDescent="0.25">
      <c r="B5" s="39" t="s">
        <v>290</v>
      </c>
      <c r="C5" s="39">
        <v>3</v>
      </c>
    </row>
    <row r="6" spans="2:10" x14ac:dyDescent="0.25">
      <c r="B6" s="39" t="s">
        <v>13</v>
      </c>
      <c r="C6" s="39">
        <v>4</v>
      </c>
      <c r="G6" s="925" t="s">
        <v>845</v>
      </c>
      <c r="H6" s="925"/>
      <c r="I6" s="925" t="s">
        <v>846</v>
      </c>
      <c r="J6" s="925"/>
    </row>
    <row r="7" spans="2:10" x14ac:dyDescent="0.25">
      <c r="B7" s="39" t="s">
        <v>14</v>
      </c>
      <c r="C7" s="39">
        <v>5</v>
      </c>
      <c r="G7" s="925"/>
      <c r="H7" s="925"/>
      <c r="I7" s="925"/>
      <c r="J7" s="925"/>
    </row>
    <row r="8" spans="2:10" x14ac:dyDescent="0.25">
      <c r="B8" s="39" t="s">
        <v>15</v>
      </c>
      <c r="C8" s="39">
        <v>6</v>
      </c>
    </row>
    <row r="9" spans="2:10" x14ac:dyDescent="0.25">
      <c r="B9" s="39" t="s">
        <v>16</v>
      </c>
      <c r="C9" s="39">
        <v>7</v>
      </c>
      <c r="G9" s="925" t="s">
        <v>847</v>
      </c>
      <c r="H9" s="925"/>
      <c r="I9" s="925" t="s">
        <v>848</v>
      </c>
      <c r="J9" s="925"/>
    </row>
    <row r="10" spans="2:10" x14ac:dyDescent="0.25">
      <c r="B10" s="39" t="s">
        <v>3</v>
      </c>
      <c r="C10" s="39">
        <v>8</v>
      </c>
      <c r="G10" s="925"/>
      <c r="H10" s="925"/>
      <c r="I10" s="925"/>
      <c r="J10" s="925"/>
    </row>
    <row r="11" spans="2:10" x14ac:dyDescent="0.25">
      <c r="B11" s="39" t="s">
        <v>325</v>
      </c>
      <c r="C11" s="39">
        <v>9</v>
      </c>
    </row>
    <row r="12" spans="2:10" x14ac:dyDescent="0.25">
      <c r="B12" s="39" t="s">
        <v>169</v>
      </c>
      <c r="C12" s="39">
        <v>10</v>
      </c>
    </row>
    <row r="13" spans="2:10" x14ac:dyDescent="0.25">
      <c r="B13" s="39" t="s">
        <v>86</v>
      </c>
    </row>
    <row r="15" spans="2:10" x14ac:dyDescent="0.25">
      <c r="D15" s="20" t="s">
        <v>1191</v>
      </c>
    </row>
    <row r="19" spans="4:9" x14ac:dyDescent="0.25">
      <c r="F19" s="856"/>
    </row>
    <row r="20" spans="4:9" x14ac:dyDescent="0.25">
      <c r="D20" s="20" t="s">
        <v>1172</v>
      </c>
    </row>
    <row r="21" spans="4:9" x14ac:dyDescent="0.25">
      <c r="D21" s="20" t="s">
        <v>1173</v>
      </c>
    </row>
    <row r="22" spans="4:9" x14ac:dyDescent="0.25">
      <c r="D22" s="20" t="s">
        <v>1174</v>
      </c>
    </row>
    <row r="24" spans="4:9" x14ac:dyDescent="0.25">
      <c r="D24" s="308">
        <v>5000</v>
      </c>
      <c r="E24" s="308">
        <v>4500</v>
      </c>
      <c r="F24" s="857">
        <f>(((D24-E24)/D24)*100)*0.01</f>
        <v>0.1</v>
      </c>
      <c r="G24" s="857">
        <v>0.01</v>
      </c>
    </row>
    <row r="25" spans="4:9" x14ac:dyDescent="0.25">
      <c r="F25" s="857">
        <f>((D24-E24)/D24)*100</f>
        <v>10</v>
      </c>
    </row>
    <row r="27" spans="4:9" x14ac:dyDescent="0.25">
      <c r="I27" s="856"/>
    </row>
  </sheetData>
  <mergeCells count="4">
    <mergeCell ref="G6:H7"/>
    <mergeCell ref="I6:J7"/>
    <mergeCell ref="G9:H10"/>
    <mergeCell ref="I9: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8C5C-F476-4CC1-A437-AD772E54624A}">
  <dimension ref="A1:O323"/>
  <sheetViews>
    <sheetView topLeftCell="B117" zoomScaleNormal="100" workbookViewId="0">
      <selection activeCell="O292" sqref="O292"/>
    </sheetView>
  </sheetViews>
  <sheetFormatPr baseColWidth="10" defaultRowHeight="15" x14ac:dyDescent="0.25"/>
  <cols>
    <col min="15" max="15" width="16.85546875" customWidth="1"/>
  </cols>
  <sheetData>
    <row r="1" spans="1:15" ht="15.75" thickBot="1" x14ac:dyDescent="0.3">
      <c r="A1" s="547"/>
      <c r="B1" s="548"/>
      <c r="C1" s="548"/>
      <c r="D1" s="548"/>
      <c r="E1" s="548"/>
      <c r="F1" s="548"/>
      <c r="G1" s="548"/>
      <c r="H1" s="548"/>
      <c r="I1" s="548"/>
      <c r="J1" s="548"/>
      <c r="K1" s="548"/>
      <c r="L1" s="548"/>
      <c r="M1" s="548"/>
      <c r="N1" s="548"/>
      <c r="O1" s="549"/>
    </row>
    <row r="2" spans="1:15" ht="30" customHeight="1" thickBot="1" x14ac:dyDescent="0.55000000000000004">
      <c r="A2" s="937" t="s">
        <v>850</v>
      </c>
      <c r="B2" s="938"/>
      <c r="C2" s="938"/>
      <c r="D2" s="938"/>
      <c r="E2" s="938"/>
      <c r="F2" s="938"/>
      <c r="G2" s="938"/>
      <c r="H2" s="938"/>
      <c r="I2" s="938"/>
      <c r="J2" s="938"/>
      <c r="K2" s="938"/>
      <c r="L2" s="938"/>
      <c r="M2" s="938"/>
      <c r="N2" s="938"/>
      <c r="O2" s="939"/>
    </row>
    <row r="3" spans="1:15" ht="20.100000000000001" customHeight="1" thickBot="1" x14ac:dyDescent="0.3">
      <c r="A3" s="550"/>
      <c r="B3" s="551"/>
      <c r="C3" s="551"/>
      <c r="D3" s="551"/>
      <c r="E3" s="551"/>
      <c r="F3" s="551"/>
      <c r="G3" s="551"/>
      <c r="H3" s="551"/>
      <c r="I3" s="551"/>
      <c r="J3" s="551"/>
      <c r="K3" s="551"/>
      <c r="L3" s="551"/>
      <c r="M3" s="551"/>
      <c r="N3" s="551"/>
      <c r="O3" s="552"/>
    </row>
    <row r="4" spans="1:15" ht="20.100000000000001" customHeight="1" thickBot="1" x14ac:dyDescent="0.3">
      <c r="A4" s="550"/>
      <c r="B4" s="940" t="s">
        <v>851</v>
      </c>
      <c r="C4" s="941"/>
      <c r="D4" s="942"/>
      <c r="E4" s="551"/>
      <c r="F4" s="551"/>
      <c r="G4" s="940" t="s">
        <v>852</v>
      </c>
      <c r="H4" s="941"/>
      <c r="I4" s="942"/>
      <c r="J4" s="551"/>
      <c r="K4" s="551"/>
      <c r="L4" s="940" t="s">
        <v>853</v>
      </c>
      <c r="M4" s="941"/>
      <c r="N4" s="942"/>
      <c r="O4" s="552"/>
    </row>
    <row r="5" spans="1:15" ht="20.100000000000001" customHeight="1" x14ac:dyDescent="0.25">
      <c r="A5" s="550"/>
      <c r="B5" s="551"/>
      <c r="C5" s="551"/>
      <c r="D5" s="551"/>
      <c r="E5" s="551"/>
      <c r="F5" s="551"/>
      <c r="G5" s="551"/>
      <c r="H5" s="551"/>
      <c r="I5" s="551"/>
      <c r="J5" s="551"/>
      <c r="K5" s="551"/>
      <c r="L5" s="551"/>
      <c r="M5" s="551"/>
      <c r="N5" s="551"/>
      <c r="O5" s="552"/>
    </row>
    <row r="6" spans="1:15" ht="20.100000000000001" customHeight="1" thickBot="1" x14ac:dyDescent="0.3">
      <c r="A6" s="550"/>
      <c r="B6" s="551"/>
      <c r="C6" s="551"/>
      <c r="D6" s="551"/>
      <c r="E6" s="551"/>
      <c r="F6" s="551"/>
      <c r="G6" s="551"/>
      <c r="H6" s="551"/>
      <c r="I6" s="551"/>
      <c r="J6" s="551"/>
      <c r="K6" s="551"/>
      <c r="L6" s="551"/>
      <c r="M6" s="551"/>
      <c r="N6" s="551"/>
      <c r="O6" s="552"/>
    </row>
    <row r="7" spans="1:15" ht="20.100000000000001" customHeight="1" thickBot="1" x14ac:dyDescent="0.3">
      <c r="A7" s="550"/>
      <c r="B7" s="551"/>
      <c r="C7" s="551"/>
      <c r="D7" s="551"/>
      <c r="E7" s="943" t="s">
        <v>854</v>
      </c>
      <c r="F7" s="944"/>
      <c r="G7" s="551"/>
      <c r="H7" s="551"/>
      <c r="I7" s="929" t="s">
        <v>855</v>
      </c>
      <c r="J7" s="930"/>
      <c r="K7" s="931"/>
      <c r="L7" s="551"/>
      <c r="M7" s="551"/>
      <c r="N7" s="551"/>
      <c r="O7" s="552"/>
    </row>
    <row r="8" spans="1:15" ht="20.100000000000001" customHeight="1" x14ac:dyDescent="0.25">
      <c r="A8" s="550"/>
      <c r="B8" s="551"/>
      <c r="C8" s="551"/>
      <c r="D8" s="551"/>
      <c r="E8" s="551"/>
      <c r="F8" s="551"/>
      <c r="G8" s="551"/>
      <c r="H8" s="551"/>
      <c r="I8" s="551"/>
      <c r="J8" s="551"/>
      <c r="K8" s="551"/>
      <c r="L8" s="551"/>
      <c r="M8" s="551"/>
      <c r="N8" s="551"/>
      <c r="O8" s="552"/>
    </row>
    <row r="9" spans="1:15" ht="20.100000000000001" customHeight="1" thickBot="1" x14ac:dyDescent="0.3">
      <c r="A9" s="550"/>
      <c r="B9" s="551"/>
      <c r="C9" s="551"/>
      <c r="D9" s="551"/>
      <c r="E9" s="553"/>
      <c r="F9" s="551"/>
      <c r="G9" s="551"/>
      <c r="H9" s="551"/>
      <c r="I9" s="551"/>
      <c r="J9" s="551"/>
      <c r="K9" s="551"/>
      <c r="L9" s="551"/>
      <c r="M9" s="551"/>
      <c r="N9" s="551"/>
      <c r="O9" s="552"/>
    </row>
    <row r="10" spans="1:15" ht="20.100000000000001" customHeight="1" thickBot="1" x14ac:dyDescent="0.3">
      <c r="A10" s="550"/>
      <c r="B10" s="551"/>
      <c r="C10" s="551"/>
      <c r="D10" s="926" t="s">
        <v>856</v>
      </c>
      <c r="E10" s="927"/>
      <c r="F10" s="928"/>
      <c r="G10" s="551"/>
      <c r="H10" s="551"/>
      <c r="I10" s="929" t="s">
        <v>857</v>
      </c>
      <c r="J10" s="930"/>
      <c r="K10" s="931"/>
      <c r="L10" s="551"/>
      <c r="M10" s="551"/>
      <c r="N10" s="551"/>
      <c r="O10" s="552"/>
    </row>
    <row r="11" spans="1:15" ht="20.100000000000001" customHeight="1" x14ac:dyDescent="0.25">
      <c r="A11" s="550"/>
      <c r="B11" s="551"/>
      <c r="C11" s="551"/>
      <c r="D11" s="551"/>
      <c r="E11" s="551"/>
      <c r="F11" s="551"/>
      <c r="G11" s="551"/>
      <c r="H11" s="551"/>
      <c r="I11" s="551"/>
      <c r="J11" s="551"/>
      <c r="K11" s="551"/>
      <c r="L11" s="551"/>
      <c r="M11" s="551"/>
      <c r="N11" s="551"/>
      <c r="O11" s="552"/>
    </row>
    <row r="12" spans="1:15" ht="20.100000000000001" customHeight="1" thickBot="1" x14ac:dyDescent="0.3">
      <c r="A12" s="550"/>
      <c r="B12" s="551"/>
      <c r="C12" s="551"/>
      <c r="D12" s="551"/>
      <c r="E12" s="551"/>
      <c r="F12" s="551"/>
      <c r="G12" s="551"/>
      <c r="H12" s="551"/>
      <c r="I12" s="551"/>
      <c r="J12" s="551"/>
      <c r="K12" s="551"/>
      <c r="L12" s="551"/>
      <c r="M12" s="551"/>
      <c r="N12" s="551"/>
      <c r="O12" s="552"/>
    </row>
    <row r="13" spans="1:15" ht="20.100000000000001" customHeight="1" thickBot="1" x14ac:dyDescent="0.3">
      <c r="A13" s="550"/>
      <c r="B13" s="551"/>
      <c r="C13" s="551"/>
      <c r="D13" s="551"/>
      <c r="E13" s="929" t="s">
        <v>858</v>
      </c>
      <c r="F13" s="930"/>
      <c r="G13" s="931"/>
      <c r="H13" s="551"/>
      <c r="I13" s="932" t="s">
        <v>859</v>
      </c>
      <c r="J13" s="933"/>
      <c r="K13" s="933"/>
      <c r="L13" s="933"/>
      <c r="M13" s="933"/>
      <c r="N13" s="934"/>
      <c r="O13" s="552"/>
    </row>
    <row r="14" spans="1:15" ht="20.100000000000001" customHeight="1" x14ac:dyDescent="0.25">
      <c r="A14" s="550"/>
      <c r="B14" s="551"/>
      <c r="C14" s="551"/>
      <c r="D14" s="551"/>
      <c r="E14" s="551"/>
      <c r="F14" s="551"/>
      <c r="G14" s="551"/>
      <c r="H14" s="551"/>
      <c r="I14" s="551"/>
      <c r="J14" s="551"/>
      <c r="K14" s="551"/>
      <c r="L14" s="551"/>
      <c r="M14" s="551"/>
      <c r="N14" s="551"/>
      <c r="O14" s="552"/>
    </row>
    <row r="15" spans="1:15" ht="20.100000000000001" customHeight="1" thickBot="1" x14ac:dyDescent="0.3">
      <c r="A15" s="550"/>
      <c r="B15" s="551"/>
      <c r="C15" s="551"/>
      <c r="D15" s="551"/>
      <c r="E15" s="551"/>
      <c r="F15" s="551"/>
      <c r="G15" s="551"/>
      <c r="H15" s="551"/>
      <c r="I15" s="551"/>
      <c r="J15" s="551"/>
      <c r="K15" s="551"/>
      <c r="L15" s="551"/>
      <c r="M15" s="551"/>
      <c r="N15" s="551"/>
      <c r="O15" s="552"/>
    </row>
    <row r="16" spans="1:15" ht="20.100000000000001" customHeight="1" thickBot="1" x14ac:dyDescent="0.3">
      <c r="A16" s="550"/>
      <c r="B16" s="551"/>
      <c r="C16" s="551"/>
      <c r="D16" s="551"/>
      <c r="E16" s="551"/>
      <c r="F16" s="929" t="s">
        <v>860</v>
      </c>
      <c r="G16" s="930"/>
      <c r="H16" s="931"/>
      <c r="I16" s="551"/>
      <c r="J16" s="935" t="s">
        <v>861</v>
      </c>
      <c r="K16" s="936"/>
      <c r="L16" s="551"/>
      <c r="M16" s="551"/>
      <c r="N16" s="551"/>
      <c r="O16" s="552"/>
    </row>
    <row r="17" spans="1:15" ht="20.100000000000001" customHeight="1" x14ac:dyDescent="0.25">
      <c r="A17" s="550"/>
      <c r="B17" s="551"/>
      <c r="C17" s="551"/>
      <c r="D17" s="551"/>
      <c r="E17" s="551"/>
      <c r="F17" s="551"/>
      <c r="G17" s="551"/>
      <c r="H17" s="551"/>
      <c r="I17" s="551"/>
      <c r="J17" s="551"/>
      <c r="K17" s="551"/>
      <c r="L17" s="551"/>
      <c r="M17" s="551"/>
      <c r="N17" s="551"/>
      <c r="O17" s="552"/>
    </row>
    <row r="18" spans="1:15" ht="20.100000000000001" customHeight="1" thickBot="1" x14ac:dyDescent="0.3">
      <c r="A18" s="550"/>
      <c r="B18" s="551"/>
      <c r="C18" s="551"/>
      <c r="D18" s="551"/>
      <c r="E18" s="551"/>
      <c r="F18" s="551"/>
      <c r="G18" s="551"/>
      <c r="H18" s="551"/>
      <c r="I18" s="551"/>
      <c r="J18" s="551"/>
      <c r="K18" s="551"/>
      <c r="L18" s="551"/>
      <c r="M18" s="551"/>
      <c r="N18" s="551"/>
      <c r="O18" s="552"/>
    </row>
    <row r="19" spans="1:15" ht="20.100000000000001" customHeight="1" thickBot="1" x14ac:dyDescent="0.3">
      <c r="A19" s="550"/>
      <c r="B19" s="551"/>
      <c r="C19" s="551"/>
      <c r="D19" s="551"/>
      <c r="E19" s="554" t="s">
        <v>862</v>
      </c>
      <c r="F19" s="551"/>
      <c r="G19" s="551"/>
      <c r="H19" s="929" t="s">
        <v>863</v>
      </c>
      <c r="I19" s="930"/>
      <c r="J19" s="931"/>
      <c r="K19" s="551"/>
      <c r="L19" s="551"/>
      <c r="M19" s="551"/>
      <c r="N19" s="551"/>
      <c r="O19" s="552"/>
    </row>
    <row r="20" spans="1:15" ht="20.100000000000001" customHeight="1" x14ac:dyDescent="0.25">
      <c r="A20" s="550"/>
      <c r="B20" s="551"/>
      <c r="C20" s="551"/>
      <c r="D20" s="551"/>
      <c r="E20" s="551"/>
      <c r="F20" s="551"/>
      <c r="G20" s="551"/>
      <c r="H20" s="551"/>
      <c r="I20" s="551"/>
      <c r="J20" s="551"/>
      <c r="K20" s="551"/>
      <c r="L20" s="551"/>
      <c r="M20" s="551"/>
      <c r="N20" s="551"/>
      <c r="O20" s="552"/>
    </row>
    <row r="21" spans="1:15" ht="20.100000000000001" customHeight="1" thickBot="1" x14ac:dyDescent="0.3">
      <c r="A21" s="550"/>
      <c r="B21" s="551"/>
      <c r="C21" s="551"/>
      <c r="D21" s="551"/>
      <c r="E21" s="551"/>
      <c r="F21" s="551"/>
      <c r="G21" s="551"/>
      <c r="H21" s="551"/>
      <c r="I21" s="551"/>
      <c r="J21" s="551"/>
      <c r="K21" s="551"/>
      <c r="L21" s="551"/>
      <c r="M21" s="551"/>
      <c r="N21" s="551"/>
      <c r="O21" s="552"/>
    </row>
    <row r="22" spans="1:15" ht="20.100000000000001" customHeight="1" thickBot="1" x14ac:dyDescent="0.3">
      <c r="A22" s="550"/>
      <c r="B22" s="551"/>
      <c r="C22" s="551"/>
      <c r="D22" s="551"/>
      <c r="E22" s="551"/>
      <c r="F22" s="929" t="s">
        <v>864</v>
      </c>
      <c r="G22" s="930"/>
      <c r="H22" s="931"/>
      <c r="I22" s="551"/>
      <c r="J22" s="551"/>
      <c r="K22" s="551"/>
      <c r="L22" s="551"/>
      <c r="M22" s="551"/>
      <c r="N22" s="551"/>
      <c r="O22" s="552"/>
    </row>
    <row r="23" spans="1:15" x14ac:dyDescent="0.25">
      <c r="A23" s="550"/>
      <c r="B23" s="551"/>
      <c r="C23" s="551"/>
      <c r="D23" s="551"/>
      <c r="E23" s="551"/>
      <c r="F23" s="551"/>
      <c r="G23" s="551"/>
      <c r="H23" s="551"/>
      <c r="I23" s="551"/>
      <c r="J23" s="551"/>
      <c r="K23" s="551"/>
      <c r="L23" s="551"/>
      <c r="M23" s="551"/>
      <c r="N23" s="551"/>
      <c r="O23" s="552"/>
    </row>
    <row r="24" spans="1:15" x14ac:dyDescent="0.25">
      <c r="A24" s="550"/>
      <c r="B24" s="551"/>
      <c r="C24" s="551"/>
      <c r="D24" s="551"/>
      <c r="E24" s="551"/>
      <c r="F24" s="551"/>
      <c r="G24" s="551"/>
      <c r="H24" s="551"/>
      <c r="I24" s="551"/>
      <c r="J24" s="551"/>
      <c r="K24" s="551"/>
      <c r="L24" s="551"/>
      <c r="M24" s="551"/>
      <c r="N24" s="551"/>
      <c r="O24" s="552"/>
    </row>
    <row r="25" spans="1:15" ht="15.75" thickBot="1" x14ac:dyDescent="0.3">
      <c r="A25" s="555"/>
      <c r="B25" s="556"/>
      <c r="C25" s="556"/>
      <c r="D25" s="556"/>
      <c r="E25" s="556"/>
      <c r="F25" s="556"/>
      <c r="G25" s="556"/>
      <c r="H25" s="556"/>
      <c r="I25" s="556"/>
      <c r="J25" s="556"/>
      <c r="K25" s="556"/>
      <c r="L25" s="556"/>
      <c r="M25" s="556"/>
      <c r="N25" s="556"/>
      <c r="O25" s="557"/>
    </row>
    <row r="26" spans="1:15" ht="30" customHeight="1" thickBot="1" x14ac:dyDescent="0.3">
      <c r="A26" s="555"/>
      <c r="B26" s="556"/>
      <c r="C26" s="556"/>
      <c r="D26" s="556"/>
      <c r="E26" s="955" t="s">
        <v>865</v>
      </c>
      <c r="F26" s="956"/>
      <c r="G26" s="956"/>
      <c r="H26" s="956"/>
      <c r="I26" s="956"/>
      <c r="J26" s="956"/>
      <c r="K26" s="957"/>
      <c r="L26" s="556"/>
      <c r="M26" s="556"/>
      <c r="N26" s="556"/>
      <c r="O26" s="558" t="s">
        <v>866</v>
      </c>
    </row>
    <row r="27" spans="1:15" ht="20.100000000000001" customHeight="1" thickBot="1" x14ac:dyDescent="0.3">
      <c r="A27" s="555"/>
      <c r="B27" s="556"/>
      <c r="C27" s="556"/>
      <c r="D27" s="556"/>
      <c r="E27" s="556"/>
      <c r="F27" s="958" t="s">
        <v>867</v>
      </c>
      <c r="G27" s="959"/>
      <c r="H27" s="959"/>
      <c r="I27" s="959"/>
      <c r="J27" s="960"/>
      <c r="K27" s="556"/>
      <c r="L27" s="556"/>
      <c r="M27" s="556"/>
      <c r="N27" s="556"/>
      <c r="O27" s="557"/>
    </row>
    <row r="28" spans="1:15" x14ac:dyDescent="0.25">
      <c r="A28" s="555"/>
      <c r="B28" s="556"/>
      <c r="C28" s="556"/>
      <c r="D28" s="556"/>
      <c r="E28" s="556"/>
      <c r="F28" s="556"/>
      <c r="G28" s="556"/>
      <c r="H28" s="556"/>
      <c r="I28" s="556"/>
      <c r="J28" s="556"/>
      <c r="K28" s="556"/>
      <c r="L28" s="556"/>
      <c r="M28" s="556"/>
      <c r="N28" s="556"/>
      <c r="O28" s="557"/>
    </row>
    <row r="29" spans="1:15" ht="15.75" thickBot="1" x14ac:dyDescent="0.3">
      <c r="A29" s="555"/>
      <c r="B29" s="556"/>
      <c r="C29" s="556"/>
      <c r="D29" s="556"/>
      <c r="E29" s="556"/>
      <c r="F29" s="556"/>
      <c r="G29" s="556"/>
      <c r="H29" s="556"/>
      <c r="I29" s="556"/>
      <c r="J29" s="556"/>
      <c r="K29" s="556"/>
      <c r="L29" s="556"/>
      <c r="M29" s="556"/>
      <c r="N29" s="556"/>
      <c r="O29" s="557"/>
    </row>
    <row r="30" spans="1:15" ht="16.5" thickBot="1" x14ac:dyDescent="0.3">
      <c r="A30" s="555"/>
      <c r="B30" s="556"/>
      <c r="C30" s="946" t="s">
        <v>868</v>
      </c>
      <c r="D30" s="947"/>
      <c r="E30" s="948"/>
      <c r="F30" s="556"/>
      <c r="G30" s="556"/>
      <c r="H30" s="556"/>
      <c r="I30" s="946" t="s">
        <v>869</v>
      </c>
      <c r="J30" s="947"/>
      <c r="K30" s="948"/>
      <c r="L30" s="556"/>
      <c r="M30" s="556"/>
      <c r="N30" s="556"/>
      <c r="O30" s="557"/>
    </row>
    <row r="31" spans="1:15" x14ac:dyDescent="0.25">
      <c r="A31" s="555"/>
      <c r="B31" s="559"/>
      <c r="C31" s="945" t="s">
        <v>870</v>
      </c>
      <c r="D31" s="945"/>
      <c r="E31" s="945"/>
      <c r="F31" s="556"/>
      <c r="G31" s="556"/>
      <c r="H31" s="556"/>
      <c r="I31" s="945" t="s">
        <v>871</v>
      </c>
      <c r="J31" s="945"/>
      <c r="K31" s="945"/>
      <c r="L31" s="556"/>
      <c r="M31" s="556"/>
      <c r="N31" s="556"/>
      <c r="O31" s="557"/>
    </row>
    <row r="32" spans="1:15" ht="15.75" thickBot="1" x14ac:dyDescent="0.3">
      <c r="A32" s="555"/>
      <c r="B32" s="556"/>
      <c r="C32" s="556"/>
      <c r="D32" s="556"/>
      <c r="E32" s="556"/>
      <c r="F32" s="556"/>
      <c r="G32" s="556"/>
      <c r="H32" s="556"/>
      <c r="I32" s="556"/>
      <c r="J32" s="556"/>
      <c r="K32" s="556"/>
      <c r="L32" s="556"/>
      <c r="M32" s="556"/>
      <c r="N32" s="556"/>
      <c r="O32" s="557"/>
    </row>
    <row r="33" spans="1:15" ht="16.5" thickBot="1" x14ac:dyDescent="0.3">
      <c r="A33" s="555"/>
      <c r="B33" s="556"/>
      <c r="C33" s="556"/>
      <c r="D33" s="556"/>
      <c r="E33" s="556"/>
      <c r="F33" s="946" t="s">
        <v>872</v>
      </c>
      <c r="G33" s="947"/>
      <c r="H33" s="947"/>
      <c r="I33" s="948"/>
      <c r="J33" s="556"/>
      <c r="K33" s="556"/>
      <c r="L33" s="556"/>
      <c r="M33" s="556"/>
      <c r="N33" s="556"/>
      <c r="O33" s="557"/>
    </row>
    <row r="34" spans="1:15" x14ac:dyDescent="0.25">
      <c r="A34" s="555"/>
      <c r="B34" s="556"/>
      <c r="C34" s="556"/>
      <c r="D34" s="556"/>
      <c r="E34" s="556"/>
      <c r="F34" s="945" t="s">
        <v>873</v>
      </c>
      <c r="G34" s="945"/>
      <c r="H34" s="945"/>
      <c r="I34" s="945"/>
      <c r="J34" s="556"/>
      <c r="K34" s="556"/>
      <c r="L34" s="556"/>
      <c r="M34" s="556"/>
      <c r="N34" s="556"/>
      <c r="O34" s="557"/>
    </row>
    <row r="35" spans="1:15" ht="15.75" thickBot="1" x14ac:dyDescent="0.3">
      <c r="A35" s="555"/>
      <c r="B35" s="556"/>
      <c r="C35" s="556"/>
      <c r="D35" s="556"/>
      <c r="E35" s="556"/>
      <c r="F35" s="556"/>
      <c r="G35" s="556"/>
      <c r="H35" s="556"/>
      <c r="I35" s="556"/>
      <c r="J35" s="556"/>
      <c r="K35" s="556"/>
      <c r="L35" s="556"/>
      <c r="M35" s="556"/>
      <c r="N35" s="556"/>
      <c r="O35" s="557"/>
    </row>
    <row r="36" spans="1:15" ht="16.5" thickBot="1" x14ac:dyDescent="0.3">
      <c r="A36" s="555"/>
      <c r="B36" s="556"/>
      <c r="C36" s="949" t="s">
        <v>874</v>
      </c>
      <c r="D36" s="950"/>
      <c r="E36" s="950"/>
      <c r="F36" s="951"/>
      <c r="G36" s="556"/>
      <c r="H36" s="952" t="s">
        <v>875</v>
      </c>
      <c r="I36" s="953"/>
      <c r="J36" s="953"/>
      <c r="K36" s="954"/>
      <c r="L36" s="556"/>
      <c r="M36" s="556"/>
      <c r="N36" s="556"/>
      <c r="O36" s="557"/>
    </row>
    <row r="37" spans="1:15" x14ac:dyDescent="0.25">
      <c r="A37" s="555"/>
      <c r="B37" s="556"/>
      <c r="C37" s="945" t="s">
        <v>876</v>
      </c>
      <c r="D37" s="945"/>
      <c r="E37" s="945"/>
      <c r="F37" s="945"/>
      <c r="G37" s="556"/>
      <c r="H37" s="556"/>
      <c r="I37" s="556"/>
      <c r="J37" s="556"/>
      <c r="K37" s="556"/>
      <c r="L37" s="556"/>
      <c r="M37" s="556"/>
      <c r="N37" s="556"/>
      <c r="O37" s="557"/>
    </row>
    <row r="38" spans="1:15" ht="15.75" thickBot="1" x14ac:dyDescent="0.3">
      <c r="A38" s="555"/>
      <c r="B38" s="556"/>
      <c r="C38" s="556"/>
      <c r="D38" s="556"/>
      <c r="E38" s="556"/>
      <c r="F38" s="556"/>
      <c r="G38" s="556"/>
      <c r="H38" s="556"/>
      <c r="I38" s="556"/>
      <c r="J38" s="556"/>
      <c r="K38" s="556"/>
      <c r="L38" s="556"/>
      <c r="M38" s="556"/>
      <c r="N38" s="556"/>
      <c r="O38" s="557"/>
    </row>
    <row r="39" spans="1:15" ht="15.75" thickBot="1" x14ac:dyDescent="0.3">
      <c r="A39" s="555"/>
      <c r="B39" s="556"/>
      <c r="C39" s="952" t="s">
        <v>877</v>
      </c>
      <c r="D39" s="953"/>
      <c r="E39" s="953"/>
      <c r="F39" s="954"/>
      <c r="G39" s="556"/>
      <c r="H39" s="952" t="s">
        <v>878</v>
      </c>
      <c r="I39" s="953"/>
      <c r="J39" s="953"/>
      <c r="K39" s="954"/>
      <c r="L39" s="556"/>
      <c r="M39" s="556"/>
      <c r="N39" s="556"/>
      <c r="O39" s="557"/>
    </row>
    <row r="40" spans="1:15" x14ac:dyDescent="0.25">
      <c r="A40" s="555"/>
      <c r="B40" s="556"/>
      <c r="C40" s="945" t="s">
        <v>879</v>
      </c>
      <c r="D40" s="945"/>
      <c r="E40" s="945"/>
      <c r="F40" s="945"/>
      <c r="G40" s="556"/>
      <c r="H40" s="560"/>
      <c r="I40" s="560"/>
      <c r="J40" s="560"/>
      <c r="K40" s="560"/>
      <c r="L40" s="556"/>
      <c r="M40" s="556"/>
      <c r="N40" s="556"/>
      <c r="O40" s="557"/>
    </row>
    <row r="41" spans="1:15" x14ac:dyDescent="0.25">
      <c r="A41" s="555"/>
      <c r="B41" s="556"/>
      <c r="C41" s="556"/>
      <c r="D41" s="556"/>
      <c r="E41" s="556"/>
      <c r="F41" s="556"/>
      <c r="G41" s="556"/>
      <c r="H41" s="556"/>
      <c r="I41" s="556"/>
      <c r="J41" s="556"/>
      <c r="K41" s="556"/>
      <c r="L41" s="556"/>
      <c r="M41" s="556"/>
      <c r="N41" s="556"/>
      <c r="O41" s="557"/>
    </row>
    <row r="42" spans="1:15" ht="15.75" thickBot="1" x14ac:dyDescent="0.3">
      <c r="A42" s="555"/>
      <c r="B42" s="556"/>
      <c r="C42" s="556"/>
      <c r="D42" s="556"/>
      <c r="E42" s="556"/>
      <c r="F42" s="556"/>
      <c r="G42" s="556"/>
      <c r="H42" s="556"/>
      <c r="I42" s="556"/>
      <c r="J42" s="556"/>
      <c r="K42" s="556"/>
      <c r="L42" s="556"/>
      <c r="M42" s="556"/>
      <c r="N42" s="556"/>
      <c r="O42" s="557"/>
    </row>
    <row r="43" spans="1:15" ht="15.75" thickBot="1" x14ac:dyDescent="0.3">
      <c r="A43" s="555"/>
      <c r="B43" s="556"/>
      <c r="C43" s="961" t="s">
        <v>880</v>
      </c>
      <c r="D43" s="962"/>
      <c r="E43" s="962"/>
      <c r="F43" s="963"/>
      <c r="G43" s="556"/>
      <c r="H43" s="556"/>
      <c r="I43" s="556"/>
      <c r="J43" s="556"/>
      <c r="K43" s="556"/>
      <c r="L43" s="556"/>
      <c r="M43" s="556"/>
      <c r="N43" s="556"/>
      <c r="O43" s="557"/>
    </row>
    <row r="44" spans="1:15" x14ac:dyDescent="0.25">
      <c r="A44" s="555"/>
      <c r="B44" s="556"/>
      <c r="C44" s="556"/>
      <c r="D44" s="556"/>
      <c r="E44" s="556"/>
      <c r="F44" s="556"/>
      <c r="G44" s="556"/>
      <c r="H44" s="556"/>
      <c r="I44" s="556"/>
      <c r="J44" s="556"/>
      <c r="K44" s="556"/>
      <c r="L44" s="556"/>
      <c r="M44" s="556"/>
      <c r="N44" s="556"/>
      <c r="O44" s="557"/>
    </row>
    <row r="45" spans="1:15" ht="15.75" thickBot="1" x14ac:dyDescent="0.3">
      <c r="A45" s="555"/>
      <c r="B45" s="556"/>
      <c r="C45" s="556"/>
      <c r="D45" s="556"/>
      <c r="E45" s="556"/>
      <c r="F45" s="556"/>
      <c r="G45" s="556"/>
      <c r="H45" s="556"/>
      <c r="I45" s="556"/>
      <c r="J45" s="556"/>
      <c r="K45" s="556"/>
      <c r="L45" s="556"/>
      <c r="M45" s="556"/>
      <c r="N45" s="556"/>
      <c r="O45" s="557"/>
    </row>
    <row r="46" spans="1:15" ht="15.75" thickBot="1" x14ac:dyDescent="0.3">
      <c r="A46" s="555"/>
      <c r="B46" s="556"/>
      <c r="C46" s="952" t="s">
        <v>881</v>
      </c>
      <c r="D46" s="953"/>
      <c r="E46" s="953"/>
      <c r="F46" s="954"/>
      <c r="G46" s="556"/>
      <c r="H46" s="952" t="s">
        <v>882</v>
      </c>
      <c r="I46" s="953"/>
      <c r="J46" s="953"/>
      <c r="K46" s="954"/>
      <c r="L46" s="556"/>
      <c r="M46" s="556"/>
      <c r="N46" s="556"/>
      <c r="O46" s="557"/>
    </row>
    <row r="47" spans="1:15" x14ac:dyDescent="0.25">
      <c r="A47" s="555"/>
      <c r="B47" s="556"/>
      <c r="C47" s="945" t="s">
        <v>883</v>
      </c>
      <c r="D47" s="945"/>
      <c r="E47" s="945"/>
      <c r="F47" s="945"/>
      <c r="G47" s="556"/>
      <c r="H47" s="556"/>
      <c r="I47" s="556"/>
      <c r="J47" s="556"/>
      <c r="K47" s="556"/>
      <c r="L47" s="556"/>
      <c r="M47" s="556"/>
      <c r="N47" s="556"/>
      <c r="O47" s="557"/>
    </row>
    <row r="48" spans="1:15" x14ac:dyDescent="0.25">
      <c r="A48" s="555"/>
      <c r="B48" s="556"/>
      <c r="C48" s="556"/>
      <c r="D48" s="556"/>
      <c r="E48" s="556"/>
      <c r="F48" s="556"/>
      <c r="G48" s="556"/>
      <c r="H48" s="556"/>
      <c r="I48" s="556"/>
      <c r="J48" s="556"/>
      <c r="K48" s="556"/>
      <c r="L48" s="556"/>
      <c r="M48" s="556"/>
      <c r="N48" s="556"/>
      <c r="O48" s="557"/>
    </row>
    <row r="49" spans="1:15" ht="15.75" thickBot="1" x14ac:dyDescent="0.3">
      <c r="A49" s="555"/>
      <c r="B49" s="556"/>
      <c r="C49" s="556"/>
      <c r="D49" s="556"/>
      <c r="E49" s="556"/>
      <c r="F49" s="556"/>
      <c r="G49" s="556"/>
      <c r="H49" s="556"/>
      <c r="I49" s="556"/>
      <c r="J49" s="556"/>
      <c r="K49" s="556"/>
      <c r="L49" s="556"/>
      <c r="M49" s="556"/>
      <c r="N49" s="556"/>
      <c r="O49" s="557"/>
    </row>
    <row r="50" spans="1:15" ht="16.5" thickBot="1" x14ac:dyDescent="0.3">
      <c r="A50" s="555"/>
      <c r="B50" s="556"/>
      <c r="C50" s="946" t="s">
        <v>884</v>
      </c>
      <c r="D50" s="947"/>
      <c r="E50" s="947"/>
      <c r="F50" s="948"/>
      <c r="G50" s="556"/>
      <c r="H50" s="556"/>
      <c r="I50" s="556"/>
      <c r="J50" s="556"/>
      <c r="K50" s="556"/>
      <c r="L50" s="556"/>
      <c r="M50" s="556"/>
      <c r="N50" s="556"/>
      <c r="O50" s="557"/>
    </row>
    <row r="51" spans="1:15" x14ac:dyDescent="0.25">
      <c r="A51" s="555"/>
      <c r="B51" s="556"/>
      <c r="C51" s="556"/>
      <c r="D51" s="556"/>
      <c r="E51" s="556"/>
      <c r="F51" s="556"/>
      <c r="G51" s="556"/>
      <c r="H51" s="556"/>
      <c r="I51" s="556"/>
      <c r="J51" s="556"/>
      <c r="K51" s="556"/>
      <c r="L51" s="556"/>
      <c r="M51" s="556"/>
      <c r="N51" s="556"/>
      <c r="O51" s="557"/>
    </row>
    <row r="52" spans="1:15" x14ac:dyDescent="0.25">
      <c r="A52" s="555"/>
      <c r="B52" s="556"/>
      <c r="C52" s="556"/>
      <c r="D52" s="556"/>
      <c r="E52" s="556"/>
      <c r="F52" s="556"/>
      <c r="G52" s="556"/>
      <c r="H52" s="556"/>
      <c r="I52" s="556"/>
      <c r="J52" s="556"/>
      <c r="K52" s="556"/>
      <c r="L52" s="556"/>
      <c r="M52" s="556"/>
      <c r="N52" s="556"/>
      <c r="O52" s="557"/>
    </row>
    <row r="53" spans="1:15" ht="15.75" thickBot="1" x14ac:dyDescent="0.3">
      <c r="A53" s="555"/>
      <c r="B53" s="556"/>
      <c r="C53" s="556"/>
      <c r="D53" s="556"/>
      <c r="E53" s="556"/>
      <c r="F53" s="556"/>
      <c r="G53" s="556"/>
      <c r="H53" s="556"/>
      <c r="I53" s="556"/>
      <c r="J53" s="556"/>
      <c r="K53" s="556"/>
      <c r="L53" s="556"/>
      <c r="M53" s="556"/>
      <c r="N53" s="556"/>
      <c r="O53" s="557"/>
    </row>
    <row r="54" spans="1:15" ht="16.5" thickBot="1" x14ac:dyDescent="0.3">
      <c r="A54" s="555"/>
      <c r="B54" s="556"/>
      <c r="C54" s="949" t="s">
        <v>885</v>
      </c>
      <c r="D54" s="950"/>
      <c r="E54" s="950"/>
      <c r="F54" s="951"/>
      <c r="G54" s="556"/>
      <c r="H54" s="561" t="s">
        <v>30</v>
      </c>
      <c r="I54" s="562"/>
      <c r="J54" s="561" t="s">
        <v>32</v>
      </c>
      <c r="K54" s="562"/>
      <c r="L54" s="561" t="s">
        <v>886</v>
      </c>
      <c r="M54" s="556"/>
      <c r="N54" s="556"/>
      <c r="O54" s="557"/>
    </row>
    <row r="55" spans="1:15" x14ac:dyDescent="0.25">
      <c r="A55" s="555"/>
      <c r="B55" s="556"/>
      <c r="C55" s="556"/>
      <c r="D55" s="556"/>
      <c r="E55" s="556"/>
      <c r="F55" s="556"/>
      <c r="G55" s="556"/>
      <c r="H55" s="556"/>
      <c r="I55" s="556"/>
      <c r="J55" s="556"/>
      <c r="K55" s="556"/>
      <c r="L55" s="556"/>
      <c r="M55" s="556"/>
      <c r="N55" s="556"/>
      <c r="O55" s="557"/>
    </row>
    <row r="56" spans="1:15" ht="15.75" thickBot="1" x14ac:dyDescent="0.3">
      <c r="A56" s="555"/>
      <c r="B56" s="556"/>
      <c r="C56" s="556"/>
      <c r="D56" s="556"/>
      <c r="E56" s="556"/>
      <c r="F56" s="556"/>
      <c r="G56" s="556"/>
      <c r="H56" s="556"/>
      <c r="I56" s="556"/>
      <c r="J56" s="556"/>
      <c r="K56" s="556"/>
      <c r="L56" s="556"/>
      <c r="M56" s="556"/>
      <c r="N56" s="556"/>
      <c r="O56" s="557"/>
    </row>
    <row r="57" spans="1:15" ht="15.75" thickBot="1" x14ac:dyDescent="0.3">
      <c r="A57" s="555"/>
      <c r="B57" s="556"/>
      <c r="C57" s="961" t="s">
        <v>887</v>
      </c>
      <c r="D57" s="962"/>
      <c r="E57" s="962"/>
      <c r="F57" s="963"/>
      <c r="G57" s="556"/>
      <c r="H57" s="556"/>
      <c r="I57" s="556"/>
      <c r="J57" s="556"/>
      <c r="K57" s="556"/>
      <c r="L57" s="556"/>
      <c r="M57" s="556"/>
      <c r="N57" s="556"/>
      <c r="O57" s="557"/>
    </row>
    <row r="58" spans="1:15" ht="15.75" thickBot="1" x14ac:dyDescent="0.3">
      <c r="A58" s="555"/>
      <c r="B58" s="556"/>
      <c r="C58" s="556"/>
      <c r="D58" s="556"/>
      <c r="E58" s="556"/>
      <c r="F58" s="556"/>
      <c r="G58" s="556"/>
      <c r="H58" s="556"/>
      <c r="I58" s="556"/>
      <c r="J58" s="556"/>
      <c r="K58" s="556"/>
      <c r="L58" s="556"/>
      <c r="M58" s="556"/>
      <c r="N58" s="556"/>
      <c r="O58" s="557"/>
    </row>
    <row r="59" spans="1:15" ht="15.75" thickBot="1" x14ac:dyDescent="0.3">
      <c r="A59" s="555"/>
      <c r="B59" s="556"/>
      <c r="C59" s="952" t="s">
        <v>888</v>
      </c>
      <c r="D59" s="953"/>
      <c r="E59" s="953"/>
      <c r="F59" s="954"/>
      <c r="G59" s="556"/>
      <c r="H59" s="556"/>
      <c r="I59" s="556"/>
      <c r="J59" s="556"/>
      <c r="K59" s="556"/>
      <c r="L59" s="556"/>
      <c r="M59" s="556"/>
      <c r="N59" s="556"/>
      <c r="O59" s="557"/>
    </row>
    <row r="60" spans="1:15" x14ac:dyDescent="0.25">
      <c r="A60" s="555"/>
      <c r="B60" s="556"/>
      <c r="C60" s="556"/>
      <c r="D60" s="556"/>
      <c r="E60" s="556"/>
      <c r="F60" s="556"/>
      <c r="G60" s="556"/>
      <c r="H60" s="556"/>
      <c r="I60" s="556"/>
      <c r="J60" s="556"/>
      <c r="K60" s="556"/>
      <c r="L60" s="556"/>
      <c r="M60" s="556"/>
      <c r="N60" s="556"/>
      <c r="O60" s="557"/>
    </row>
    <row r="61" spans="1:15" ht="15.75" thickBot="1" x14ac:dyDescent="0.3">
      <c r="A61" s="555"/>
      <c r="B61" s="556"/>
      <c r="C61" s="556"/>
      <c r="D61" s="556"/>
      <c r="E61" s="556"/>
      <c r="F61" s="556"/>
      <c r="G61" s="556"/>
      <c r="H61" s="556"/>
      <c r="I61" s="556"/>
      <c r="J61" s="556"/>
      <c r="K61" s="556"/>
      <c r="L61" s="556"/>
      <c r="M61" s="556"/>
      <c r="N61" s="556"/>
      <c r="O61" s="557"/>
    </row>
    <row r="62" spans="1:15" ht="16.5" thickBot="1" x14ac:dyDescent="0.3">
      <c r="A62" s="555"/>
      <c r="B62" s="556"/>
      <c r="C62" s="946" t="s">
        <v>889</v>
      </c>
      <c r="D62" s="947"/>
      <c r="E62" s="947"/>
      <c r="F62" s="948"/>
      <c r="G62" s="556"/>
      <c r="H62" s="556"/>
      <c r="I62" s="556"/>
      <c r="J62" s="556"/>
      <c r="K62" s="556"/>
      <c r="L62" s="556"/>
      <c r="M62" s="556"/>
      <c r="N62" s="556"/>
      <c r="O62" s="557"/>
    </row>
    <row r="63" spans="1:15" x14ac:dyDescent="0.25">
      <c r="A63" s="555"/>
      <c r="B63" s="556"/>
      <c r="C63" s="556"/>
      <c r="D63" s="556"/>
      <c r="E63" s="556"/>
      <c r="F63" s="556"/>
      <c r="G63" s="556"/>
      <c r="H63" s="556"/>
      <c r="I63" s="556"/>
      <c r="J63" s="556"/>
      <c r="K63" s="556"/>
      <c r="L63" s="556"/>
      <c r="M63" s="556"/>
      <c r="N63" s="556"/>
      <c r="O63" s="557"/>
    </row>
    <row r="64" spans="1:15" x14ac:dyDescent="0.25">
      <c r="A64" s="555"/>
      <c r="B64" s="556"/>
      <c r="C64" s="556"/>
      <c r="D64" s="556"/>
      <c r="E64" s="556"/>
      <c r="F64" s="556"/>
      <c r="G64" s="556"/>
      <c r="H64" s="556"/>
      <c r="I64" s="556"/>
      <c r="J64" s="556"/>
      <c r="K64" s="556"/>
      <c r="L64" s="556"/>
      <c r="M64" s="556"/>
      <c r="N64" s="556"/>
      <c r="O64" s="557"/>
    </row>
    <row r="65" spans="1:15" ht="15.75" thickBot="1" x14ac:dyDescent="0.3">
      <c r="A65" s="555"/>
      <c r="B65" s="556"/>
      <c r="C65" s="556"/>
      <c r="D65" s="556"/>
      <c r="E65" s="556"/>
      <c r="F65" s="556"/>
      <c r="G65" s="556"/>
      <c r="H65" s="556"/>
      <c r="I65" s="556"/>
      <c r="J65" s="556"/>
      <c r="K65" s="556"/>
      <c r="L65" s="556"/>
      <c r="M65" s="556"/>
      <c r="N65" s="556"/>
      <c r="O65" s="557"/>
    </row>
    <row r="66" spans="1:15" ht="16.5" thickBot="1" x14ac:dyDescent="0.3">
      <c r="A66" s="555"/>
      <c r="B66" s="556"/>
      <c r="C66" s="968" t="s">
        <v>890</v>
      </c>
      <c r="D66" s="969"/>
      <c r="E66" s="969"/>
      <c r="F66" s="970"/>
      <c r="G66" s="556"/>
      <c r="H66" s="556"/>
      <c r="I66" s="556"/>
      <c r="J66" s="556"/>
      <c r="K66" s="556"/>
      <c r="L66" s="556"/>
      <c r="M66" s="556"/>
      <c r="N66" s="556"/>
      <c r="O66" s="557"/>
    </row>
    <row r="67" spans="1:15" x14ac:dyDescent="0.25">
      <c r="A67" s="555"/>
      <c r="B67" s="556"/>
      <c r="C67" s="556"/>
      <c r="D67" s="556"/>
      <c r="E67" s="556"/>
      <c r="F67" s="556"/>
      <c r="G67" s="556"/>
      <c r="H67" s="556"/>
      <c r="I67" s="556"/>
      <c r="J67" s="556"/>
      <c r="K67" s="556"/>
      <c r="L67" s="556"/>
      <c r="M67" s="556"/>
      <c r="N67" s="556"/>
      <c r="O67" s="557"/>
    </row>
    <row r="68" spans="1:15" ht="15.75" thickBot="1" x14ac:dyDescent="0.3">
      <c r="A68" s="555"/>
      <c r="B68" s="556"/>
      <c r="C68" s="556"/>
      <c r="D68" s="556"/>
      <c r="E68" s="556"/>
      <c r="F68" s="556"/>
      <c r="G68" s="556"/>
      <c r="H68" s="556"/>
      <c r="I68" s="556"/>
      <c r="J68" s="556"/>
      <c r="K68" s="556"/>
      <c r="L68" s="556"/>
      <c r="M68" s="556"/>
      <c r="N68" s="556"/>
      <c r="O68" s="557"/>
    </row>
    <row r="69" spans="1:15" ht="15.75" thickBot="1" x14ac:dyDescent="0.3">
      <c r="A69" s="555"/>
      <c r="B69" s="556"/>
      <c r="C69" s="952" t="s">
        <v>891</v>
      </c>
      <c r="D69" s="953"/>
      <c r="E69" s="953"/>
      <c r="F69" s="954"/>
      <c r="G69" s="556"/>
      <c r="H69" s="556"/>
      <c r="I69" s="556"/>
      <c r="J69" s="556"/>
      <c r="K69" s="556"/>
      <c r="L69" s="556"/>
      <c r="M69" s="556"/>
      <c r="N69" s="556"/>
      <c r="O69" s="557"/>
    </row>
    <row r="70" spans="1:15" x14ac:dyDescent="0.25">
      <c r="A70" s="555"/>
      <c r="B70" s="556"/>
      <c r="C70" s="945" t="s">
        <v>892</v>
      </c>
      <c r="D70" s="945"/>
      <c r="E70" s="945"/>
      <c r="F70" s="945"/>
      <c r="G70" s="556"/>
      <c r="H70" s="556"/>
      <c r="I70" s="556"/>
      <c r="J70" s="556"/>
      <c r="K70" s="556"/>
      <c r="L70" s="556"/>
      <c r="M70" s="556"/>
      <c r="N70" s="556"/>
      <c r="O70" s="557"/>
    </row>
    <row r="71" spans="1:15" ht="15.75" thickBot="1" x14ac:dyDescent="0.3">
      <c r="A71" s="555"/>
      <c r="B71" s="556"/>
      <c r="C71" s="556"/>
      <c r="D71" s="556"/>
      <c r="E71" s="556"/>
      <c r="F71" s="556"/>
      <c r="G71" s="556"/>
      <c r="H71" s="556"/>
      <c r="I71" s="556"/>
      <c r="J71" s="556"/>
      <c r="K71" s="556"/>
      <c r="L71" s="556"/>
      <c r="M71" s="556"/>
      <c r="N71" s="556"/>
      <c r="O71" s="557"/>
    </row>
    <row r="72" spans="1:15" ht="15.75" thickBot="1" x14ac:dyDescent="0.3">
      <c r="A72" s="555"/>
      <c r="B72" s="556"/>
      <c r="C72" s="952" t="s">
        <v>893</v>
      </c>
      <c r="D72" s="953"/>
      <c r="E72" s="953"/>
      <c r="F72" s="954"/>
      <c r="G72" s="556"/>
      <c r="H72" s="556"/>
      <c r="I72" s="556"/>
      <c r="J72" s="556"/>
      <c r="K72" s="556"/>
      <c r="L72" s="556"/>
      <c r="M72" s="556"/>
      <c r="N72" s="556"/>
      <c r="O72" s="557"/>
    </row>
    <row r="73" spans="1:15" x14ac:dyDescent="0.25">
      <c r="A73" s="555"/>
      <c r="B73" s="556"/>
      <c r="C73" s="945" t="s">
        <v>894</v>
      </c>
      <c r="D73" s="945"/>
      <c r="E73" s="945"/>
      <c r="F73" s="945"/>
      <c r="G73" s="556"/>
      <c r="H73" s="556"/>
      <c r="I73" s="556"/>
      <c r="J73" s="556"/>
      <c r="K73" s="556"/>
      <c r="L73" s="556"/>
      <c r="M73" s="556"/>
      <c r="N73" s="556"/>
      <c r="O73" s="557"/>
    </row>
    <row r="74" spans="1:15" x14ac:dyDescent="0.25">
      <c r="A74" s="555"/>
      <c r="B74" s="556"/>
      <c r="C74" s="556"/>
      <c r="D74" s="556"/>
      <c r="E74" s="556"/>
      <c r="F74" s="556"/>
      <c r="G74" s="556"/>
      <c r="H74" s="556"/>
      <c r="I74" s="556"/>
      <c r="J74" s="556"/>
      <c r="K74" s="556"/>
      <c r="L74" s="556"/>
      <c r="M74" s="556"/>
      <c r="N74" s="556"/>
      <c r="O74" s="557"/>
    </row>
    <row r="75" spans="1:15" ht="15.75" thickBot="1" x14ac:dyDescent="0.3">
      <c r="A75" s="555"/>
      <c r="B75" s="556"/>
      <c r="C75" s="556"/>
      <c r="D75" s="556"/>
      <c r="E75" s="556"/>
      <c r="F75" s="556"/>
      <c r="G75" s="556"/>
      <c r="H75" s="556"/>
      <c r="I75" s="556"/>
      <c r="J75" s="556"/>
      <c r="K75" s="556"/>
      <c r="L75" s="556"/>
      <c r="M75" s="556"/>
      <c r="N75" s="556"/>
      <c r="O75" s="557"/>
    </row>
    <row r="76" spans="1:15" ht="16.5" thickBot="1" x14ac:dyDescent="0.3">
      <c r="A76" s="555"/>
      <c r="B76" s="556"/>
      <c r="C76" s="946" t="s">
        <v>895</v>
      </c>
      <c r="D76" s="947"/>
      <c r="E76" s="947"/>
      <c r="F76" s="948"/>
      <c r="G76" s="556"/>
      <c r="H76" s="556"/>
      <c r="I76" s="556"/>
      <c r="J76" s="556"/>
      <c r="K76" s="556"/>
      <c r="L76" s="556"/>
      <c r="M76" s="556"/>
      <c r="N76" s="556"/>
      <c r="O76" s="557"/>
    </row>
    <row r="77" spans="1:15" ht="15.75" thickBot="1" x14ac:dyDescent="0.3">
      <c r="A77" s="555"/>
      <c r="B77" s="556"/>
      <c r="C77" s="556"/>
      <c r="D77" s="556"/>
      <c r="E77" s="556"/>
      <c r="F77" s="556"/>
      <c r="G77" s="556"/>
      <c r="H77" s="556"/>
      <c r="I77" s="556"/>
      <c r="J77" s="556"/>
      <c r="K77" s="556"/>
      <c r="L77" s="556"/>
      <c r="M77" s="556"/>
      <c r="N77" s="556"/>
      <c r="O77" s="557"/>
    </row>
    <row r="78" spans="1:15" ht="16.5" thickBot="1" x14ac:dyDescent="0.3">
      <c r="A78" s="555"/>
      <c r="B78" s="556"/>
      <c r="C78" s="556"/>
      <c r="D78" s="556"/>
      <c r="E78" s="556"/>
      <c r="F78" s="556"/>
      <c r="G78" s="556"/>
      <c r="H78" s="556"/>
      <c r="I78" s="556"/>
      <c r="J78" s="946" t="s">
        <v>896</v>
      </c>
      <c r="K78" s="947"/>
      <c r="L78" s="947"/>
      <c r="M78" s="948"/>
      <c r="N78" s="556"/>
      <c r="O78" s="557"/>
    </row>
    <row r="79" spans="1:15" x14ac:dyDescent="0.25">
      <c r="A79" s="555"/>
      <c r="B79" s="556"/>
      <c r="C79" s="556"/>
      <c r="D79" s="556"/>
      <c r="E79" s="556"/>
      <c r="F79" s="556"/>
      <c r="G79" s="556"/>
      <c r="H79" s="556"/>
      <c r="I79" s="556"/>
      <c r="J79" s="556"/>
      <c r="K79" s="556"/>
      <c r="L79" s="556"/>
      <c r="M79" s="556"/>
      <c r="N79" s="556"/>
      <c r="O79" s="557"/>
    </row>
    <row r="80" spans="1:15" ht="15.75" thickBot="1" x14ac:dyDescent="0.3">
      <c r="A80" s="555"/>
      <c r="B80" s="556"/>
      <c r="C80" s="556"/>
      <c r="D80" s="556"/>
      <c r="E80" s="556"/>
      <c r="F80" s="556"/>
      <c r="G80" s="556"/>
      <c r="H80" s="556"/>
      <c r="I80" s="556"/>
      <c r="J80" s="556"/>
      <c r="K80" s="556"/>
      <c r="L80" s="556"/>
      <c r="M80" s="556"/>
      <c r="N80" s="556"/>
      <c r="O80" s="557"/>
    </row>
    <row r="81" spans="1:15" ht="15.75" thickBot="1" x14ac:dyDescent="0.3">
      <c r="A81" s="555"/>
      <c r="B81" s="556"/>
      <c r="C81" s="556"/>
      <c r="D81" s="556"/>
      <c r="E81" s="556"/>
      <c r="F81" s="556"/>
      <c r="G81" s="556"/>
      <c r="H81" s="556"/>
      <c r="I81" s="556"/>
      <c r="J81" s="952" t="s">
        <v>897</v>
      </c>
      <c r="K81" s="953"/>
      <c r="L81" s="953"/>
      <c r="M81" s="954"/>
      <c r="N81" s="556"/>
      <c r="O81" s="557"/>
    </row>
    <row r="82" spans="1:15" x14ac:dyDescent="0.25">
      <c r="A82" s="555"/>
      <c r="B82" s="556"/>
      <c r="C82" s="556"/>
      <c r="D82" s="556"/>
      <c r="E82" s="556"/>
      <c r="F82" s="556"/>
      <c r="G82" s="556"/>
      <c r="H82" s="556"/>
      <c r="I82" s="556"/>
      <c r="J82" s="556"/>
      <c r="K82" s="556"/>
      <c r="L82" s="556"/>
      <c r="M82" s="556"/>
      <c r="N82" s="556"/>
      <c r="O82" s="557"/>
    </row>
    <row r="83" spans="1:15" ht="15.75" thickBot="1" x14ac:dyDescent="0.3">
      <c r="A83" s="555"/>
      <c r="B83" s="556"/>
      <c r="C83" s="556"/>
      <c r="D83" s="556"/>
      <c r="E83" s="556"/>
      <c r="F83" s="556"/>
      <c r="G83" s="556"/>
      <c r="H83" s="556"/>
      <c r="I83" s="556"/>
      <c r="J83" s="556"/>
      <c r="K83" s="556"/>
      <c r="L83" s="556"/>
      <c r="M83" s="556"/>
      <c r="N83" s="556"/>
      <c r="O83" s="557"/>
    </row>
    <row r="84" spans="1:15" ht="16.5" thickBot="1" x14ac:dyDescent="0.3">
      <c r="A84" s="555"/>
      <c r="B84" s="556"/>
      <c r="C84" s="946" t="s">
        <v>113</v>
      </c>
      <c r="D84" s="947"/>
      <c r="E84" s="947"/>
      <c r="F84" s="948"/>
      <c r="G84" s="556"/>
      <c r="H84" s="556"/>
      <c r="I84" s="556"/>
      <c r="J84" s="946" t="s">
        <v>898</v>
      </c>
      <c r="K84" s="947"/>
      <c r="L84" s="947"/>
      <c r="M84" s="948"/>
      <c r="N84" s="556"/>
      <c r="O84" s="557"/>
    </row>
    <row r="85" spans="1:15" x14ac:dyDescent="0.25">
      <c r="A85" s="555"/>
      <c r="B85" s="556"/>
      <c r="C85" s="556"/>
      <c r="D85" s="556"/>
      <c r="E85" s="556"/>
      <c r="F85" s="556"/>
      <c r="G85" s="964" t="s">
        <v>899</v>
      </c>
      <c r="H85" s="964"/>
      <c r="I85" s="964"/>
      <c r="J85" s="556"/>
      <c r="K85" s="556"/>
      <c r="L85" s="556"/>
      <c r="M85" s="556"/>
      <c r="N85" s="556"/>
      <c r="O85" s="557"/>
    </row>
    <row r="86" spans="1:15" ht="15.75" thickBot="1" x14ac:dyDescent="0.3">
      <c r="A86" s="555"/>
      <c r="B86" s="556"/>
      <c r="C86" s="556"/>
      <c r="D86" s="556"/>
      <c r="E86" s="556"/>
      <c r="F86" s="556"/>
      <c r="G86" s="556"/>
      <c r="H86" s="556"/>
      <c r="I86" s="556"/>
      <c r="J86" s="556"/>
      <c r="K86" s="556"/>
      <c r="L86" s="556"/>
      <c r="M86" s="556"/>
      <c r="N86" s="556"/>
      <c r="O86" s="557"/>
    </row>
    <row r="87" spans="1:15" ht="15.75" thickBot="1" x14ac:dyDescent="0.3">
      <c r="A87" s="555"/>
      <c r="B87" s="556"/>
      <c r="C87" s="965" t="s">
        <v>900</v>
      </c>
      <c r="D87" s="966"/>
      <c r="E87" s="966"/>
      <c r="F87" s="967"/>
      <c r="G87" s="556"/>
      <c r="H87" s="556"/>
      <c r="I87" s="556"/>
      <c r="J87" s="556"/>
      <c r="K87" s="556"/>
      <c r="L87" s="556"/>
      <c r="M87" s="556"/>
      <c r="N87" s="556"/>
      <c r="O87" s="557"/>
    </row>
    <row r="88" spans="1:15" x14ac:dyDescent="0.25">
      <c r="A88" s="555"/>
      <c r="B88" s="556"/>
      <c r="C88" s="556"/>
      <c r="D88" s="556"/>
      <c r="E88" s="556"/>
      <c r="F88" s="556"/>
      <c r="G88" s="556"/>
      <c r="H88" s="556"/>
      <c r="I88" s="556"/>
      <c r="J88" s="556"/>
      <c r="K88" s="556"/>
      <c r="L88" s="556"/>
      <c r="M88" s="556"/>
      <c r="N88" s="556"/>
      <c r="O88" s="557"/>
    </row>
    <row r="89" spans="1:15" ht="15.75" thickBot="1" x14ac:dyDescent="0.3">
      <c r="A89" s="555"/>
      <c r="B89" s="556"/>
      <c r="C89" s="556"/>
      <c r="D89" s="556"/>
      <c r="E89" s="556"/>
      <c r="F89" s="556"/>
      <c r="G89" s="556"/>
      <c r="H89" s="556"/>
      <c r="I89" s="556"/>
      <c r="J89" s="556"/>
      <c r="K89" s="556"/>
      <c r="L89" s="556"/>
      <c r="M89" s="556"/>
      <c r="N89" s="556"/>
      <c r="O89" s="557"/>
    </row>
    <row r="90" spans="1:15" ht="15.75" thickTop="1" x14ac:dyDescent="0.25">
      <c r="A90" s="555"/>
      <c r="B90" s="556"/>
      <c r="C90" s="556"/>
      <c r="D90" s="556"/>
      <c r="E90" s="556"/>
      <c r="F90" s="971" t="s">
        <v>901</v>
      </c>
      <c r="G90" s="972"/>
      <c r="H90" s="972"/>
      <c r="I90" s="973"/>
      <c r="J90" s="556"/>
      <c r="K90" s="977" t="s">
        <v>902</v>
      </c>
      <c r="L90" s="978"/>
      <c r="M90" s="978"/>
      <c r="N90" s="979"/>
      <c r="O90" s="557"/>
    </row>
    <row r="91" spans="1:15" ht="15.75" thickBot="1" x14ac:dyDescent="0.3">
      <c r="A91" s="555"/>
      <c r="B91" s="556"/>
      <c r="C91" s="556"/>
      <c r="D91" s="556"/>
      <c r="E91" s="556"/>
      <c r="F91" s="974"/>
      <c r="G91" s="975"/>
      <c r="H91" s="975"/>
      <c r="I91" s="976"/>
      <c r="J91" s="556"/>
      <c r="K91" s="980"/>
      <c r="L91" s="981"/>
      <c r="M91" s="981"/>
      <c r="N91" s="982"/>
      <c r="O91" s="557"/>
    </row>
    <row r="92" spans="1:15" ht="15.75" thickBot="1" x14ac:dyDescent="0.3">
      <c r="A92" s="555"/>
      <c r="B92" s="556"/>
      <c r="C92" s="556"/>
      <c r="D92" s="556"/>
      <c r="E92" s="556"/>
      <c r="F92" s="556"/>
      <c r="G92" s="556"/>
      <c r="H92" s="556"/>
      <c r="I92" s="556"/>
      <c r="J92" s="556"/>
      <c r="K92" s="556"/>
      <c r="L92" s="556"/>
      <c r="M92" s="556"/>
      <c r="N92" s="556"/>
      <c r="O92" s="557"/>
    </row>
    <row r="93" spans="1:15" ht="15" customHeight="1" thickBot="1" x14ac:dyDescent="0.3">
      <c r="A93" s="563"/>
      <c r="B93" s="564"/>
      <c r="C93" s="564"/>
      <c r="D93" s="564"/>
      <c r="E93" s="565"/>
      <c r="F93" s="566"/>
      <c r="G93" s="566"/>
      <c r="H93" s="566"/>
      <c r="I93" s="566"/>
      <c r="J93" s="566"/>
      <c r="K93" s="565"/>
      <c r="L93" s="564"/>
      <c r="M93" s="564"/>
      <c r="N93" s="564"/>
      <c r="O93" s="567"/>
    </row>
    <row r="94" spans="1:15" ht="15" customHeight="1" x14ac:dyDescent="0.25">
      <c r="A94" s="563"/>
      <c r="B94" s="564"/>
      <c r="C94" s="564"/>
      <c r="D94" s="564"/>
      <c r="E94" s="983" t="s">
        <v>903</v>
      </c>
      <c r="F94" s="984"/>
      <c r="G94" s="984"/>
      <c r="H94" s="984"/>
      <c r="I94" s="984"/>
      <c r="J94" s="984"/>
      <c r="K94" s="985"/>
      <c r="L94" s="564"/>
      <c r="M94" s="564"/>
      <c r="N94" s="564"/>
      <c r="O94" s="989" t="s">
        <v>904</v>
      </c>
    </row>
    <row r="95" spans="1:15" ht="15.75" customHeight="1" thickBot="1" x14ac:dyDescent="0.3">
      <c r="A95" s="563"/>
      <c r="B95" s="564"/>
      <c r="C95" s="564"/>
      <c r="D95" s="564"/>
      <c r="E95" s="986"/>
      <c r="F95" s="987"/>
      <c r="G95" s="987"/>
      <c r="H95" s="987"/>
      <c r="I95" s="987"/>
      <c r="J95" s="987"/>
      <c r="K95" s="988"/>
      <c r="L95" s="564"/>
      <c r="M95" s="564"/>
      <c r="N95" s="564"/>
      <c r="O95" s="990"/>
    </row>
    <row r="96" spans="1:15" ht="20.100000000000001" customHeight="1" thickBot="1" x14ac:dyDescent="0.3">
      <c r="A96" s="563"/>
      <c r="B96" s="564"/>
      <c r="C96" s="564"/>
      <c r="D96" s="564"/>
      <c r="E96" s="991" t="s">
        <v>905</v>
      </c>
      <c r="F96" s="992"/>
      <c r="G96" s="992"/>
      <c r="H96" s="992"/>
      <c r="I96" s="992"/>
      <c r="J96" s="992"/>
      <c r="K96" s="993"/>
      <c r="L96" s="564"/>
      <c r="M96" s="564"/>
      <c r="N96" s="564"/>
      <c r="O96" s="567"/>
    </row>
    <row r="97" spans="1:15" x14ac:dyDescent="0.25">
      <c r="A97" s="563"/>
      <c r="B97" s="564"/>
      <c r="C97" s="564"/>
      <c r="D97" s="564"/>
      <c r="E97" s="564"/>
      <c r="F97" s="564"/>
      <c r="G97" s="564"/>
      <c r="H97" s="564"/>
      <c r="I97" s="564"/>
      <c r="J97" s="564"/>
      <c r="K97" s="564"/>
      <c r="L97" s="564"/>
      <c r="M97" s="564"/>
      <c r="N97" s="564"/>
      <c r="O97" s="567"/>
    </row>
    <row r="98" spans="1:15" ht="15.75" thickBot="1" x14ac:dyDescent="0.3">
      <c r="A98" s="563"/>
      <c r="B98" s="564"/>
      <c r="C98" s="564"/>
      <c r="D98" s="564"/>
      <c r="E98" s="564"/>
      <c r="F98" s="564"/>
      <c r="G98" s="564"/>
      <c r="H98" s="564"/>
      <c r="I98" s="564"/>
      <c r="J98" s="564"/>
      <c r="K98" s="564"/>
      <c r="L98" s="564"/>
      <c r="M98" s="564"/>
      <c r="N98" s="564"/>
      <c r="O98" s="567"/>
    </row>
    <row r="99" spans="1:15" ht="16.5" thickBot="1" x14ac:dyDescent="0.3">
      <c r="A99" s="563"/>
      <c r="B99" s="564"/>
      <c r="C99" s="994" t="s">
        <v>906</v>
      </c>
      <c r="D99" s="995"/>
      <c r="E99" s="995"/>
      <c r="F99" s="996"/>
      <c r="G99" s="564"/>
      <c r="H99" s="997" t="s">
        <v>907</v>
      </c>
      <c r="I99" s="998"/>
      <c r="J99" s="1001" t="s">
        <v>908</v>
      </c>
      <c r="K99" s="1001"/>
      <c r="L99" s="1001" t="s">
        <v>909</v>
      </c>
      <c r="M99" s="1003"/>
      <c r="N99" s="564"/>
      <c r="O99" s="567"/>
    </row>
    <row r="100" spans="1:15" ht="15.75" thickBot="1" x14ac:dyDescent="0.3">
      <c r="A100" s="563"/>
      <c r="B100" s="564"/>
      <c r="C100" s="564"/>
      <c r="D100" s="564"/>
      <c r="E100" s="564"/>
      <c r="F100" s="564"/>
      <c r="G100" s="564"/>
      <c r="H100" s="999"/>
      <c r="I100" s="1000"/>
      <c r="J100" s="1002"/>
      <c r="K100" s="1002"/>
      <c r="L100" s="1002" t="s">
        <v>910</v>
      </c>
      <c r="M100" s="1004"/>
      <c r="N100" s="564"/>
      <c r="O100" s="567"/>
    </row>
    <row r="101" spans="1:15" ht="15.75" thickBot="1" x14ac:dyDescent="0.3">
      <c r="A101" s="563"/>
      <c r="B101" s="564"/>
      <c r="C101" s="564"/>
      <c r="D101" s="564"/>
      <c r="E101" s="564"/>
      <c r="F101" s="564"/>
      <c r="G101" s="564"/>
      <c r="H101" s="564"/>
      <c r="I101" s="564"/>
      <c r="J101" s="564"/>
      <c r="K101" s="564"/>
      <c r="L101" s="564"/>
      <c r="M101" s="564"/>
      <c r="N101" s="564"/>
      <c r="O101" s="567"/>
    </row>
    <row r="102" spans="1:15" ht="16.5" thickBot="1" x14ac:dyDescent="0.3">
      <c r="A102" s="563"/>
      <c r="B102" s="564"/>
      <c r="C102" s="946" t="s">
        <v>911</v>
      </c>
      <c r="D102" s="947"/>
      <c r="E102" s="947"/>
      <c r="F102" s="948"/>
      <c r="G102" s="564"/>
      <c r="H102" s="564"/>
      <c r="I102" s="564"/>
      <c r="J102" s="564"/>
      <c r="K102" s="564"/>
      <c r="L102" s="564"/>
      <c r="M102" s="564"/>
      <c r="N102" s="564"/>
      <c r="O102" s="567"/>
    </row>
    <row r="103" spans="1:15" ht="15.75" thickBot="1" x14ac:dyDescent="0.3">
      <c r="A103" s="563"/>
      <c r="B103" s="564"/>
      <c r="C103" s="564"/>
      <c r="D103" s="564"/>
      <c r="E103" s="564"/>
      <c r="F103" s="564"/>
      <c r="G103" s="564"/>
      <c r="H103" s="564"/>
      <c r="I103" s="564"/>
      <c r="J103" s="564"/>
      <c r="K103" s="564"/>
      <c r="L103" s="564"/>
      <c r="M103" s="564"/>
      <c r="N103" s="564"/>
      <c r="O103" s="567"/>
    </row>
    <row r="104" spans="1:15" ht="16.5" thickBot="1" x14ac:dyDescent="0.3">
      <c r="A104" s="563"/>
      <c r="B104" s="564"/>
      <c r="C104" s="568" t="s">
        <v>912</v>
      </c>
      <c r="D104" s="564"/>
      <c r="E104" s="564" t="s">
        <v>913</v>
      </c>
      <c r="F104" s="564"/>
      <c r="G104" s="564"/>
      <c r="H104" s="564"/>
      <c r="I104" s="564"/>
      <c r="J104" s="564"/>
      <c r="K104" s="564"/>
      <c r="L104" s="564"/>
      <c r="M104" s="564"/>
      <c r="N104" s="564"/>
      <c r="O104" s="567"/>
    </row>
    <row r="105" spans="1:15" x14ac:dyDescent="0.25">
      <c r="A105" s="563"/>
      <c r="B105" s="564"/>
      <c r="C105" s="564"/>
      <c r="D105" s="564"/>
      <c r="E105" s="564" t="s">
        <v>914</v>
      </c>
      <c r="F105" s="564"/>
      <c r="G105" s="564"/>
      <c r="H105" s="564"/>
      <c r="I105" s="564"/>
      <c r="J105" s="564"/>
      <c r="K105" s="564"/>
      <c r="L105" s="564"/>
      <c r="M105" s="564"/>
      <c r="N105" s="564"/>
      <c r="O105" s="567"/>
    </row>
    <row r="106" spans="1:15" x14ac:dyDescent="0.25">
      <c r="A106" s="563"/>
      <c r="B106" s="564"/>
      <c r="C106" s="564"/>
      <c r="D106" s="564"/>
      <c r="E106" s="564" t="s">
        <v>915</v>
      </c>
      <c r="F106" s="564"/>
      <c r="G106" s="564"/>
      <c r="H106" s="564"/>
      <c r="I106" s="564"/>
      <c r="J106" s="564"/>
      <c r="K106" s="564"/>
      <c r="L106" s="564"/>
      <c r="M106" s="564"/>
      <c r="N106" s="564"/>
      <c r="O106" s="567"/>
    </row>
    <row r="107" spans="1:15" ht="15.75" thickBot="1" x14ac:dyDescent="0.3">
      <c r="A107" s="563"/>
      <c r="B107" s="564"/>
      <c r="C107" s="564"/>
      <c r="D107" s="564"/>
      <c r="E107" s="564"/>
      <c r="F107" s="564"/>
      <c r="G107" s="564"/>
      <c r="H107" s="564"/>
      <c r="I107" s="564"/>
      <c r="J107" s="564"/>
      <c r="K107" s="564"/>
      <c r="L107" s="564"/>
      <c r="M107" s="564"/>
      <c r="N107" s="564"/>
      <c r="O107" s="567"/>
    </row>
    <row r="108" spans="1:15" ht="15.75" thickBot="1" x14ac:dyDescent="0.3">
      <c r="A108" s="563"/>
      <c r="B108" s="564"/>
      <c r="C108" s="1009" t="s">
        <v>916</v>
      </c>
      <c r="D108" s="1010"/>
      <c r="E108" s="569" t="s">
        <v>917</v>
      </c>
      <c r="F108" s="1013" t="s">
        <v>918</v>
      </c>
      <c r="G108" s="564"/>
      <c r="H108" s="564"/>
      <c r="I108" s="564"/>
      <c r="J108" s="564"/>
      <c r="K108" s="564"/>
      <c r="L108" s="564"/>
      <c r="M108" s="564"/>
      <c r="N108" s="564"/>
      <c r="O108" s="567"/>
    </row>
    <row r="109" spans="1:15" ht="15.75" thickBot="1" x14ac:dyDescent="0.3">
      <c r="A109" s="563"/>
      <c r="B109" s="564"/>
      <c r="C109" s="1011"/>
      <c r="D109" s="1012"/>
      <c r="E109" s="569" t="s">
        <v>919</v>
      </c>
      <c r="F109" s="1014"/>
      <c r="G109" s="564"/>
      <c r="H109" s="564"/>
      <c r="I109" s="564"/>
      <c r="J109" s="564"/>
      <c r="K109" s="564"/>
      <c r="L109" s="564"/>
      <c r="M109" s="564"/>
      <c r="N109" s="564"/>
      <c r="O109" s="567"/>
    </row>
    <row r="110" spans="1:15" ht="15.75" thickTop="1" x14ac:dyDescent="0.25">
      <c r="A110" s="563"/>
      <c r="B110" s="564"/>
      <c r="C110" s="570"/>
      <c r="D110" s="571"/>
      <c r="E110" s="571"/>
      <c r="F110" s="572"/>
      <c r="G110" s="564"/>
      <c r="H110" s="1015" t="s">
        <v>920</v>
      </c>
      <c r="I110" s="1016"/>
      <c r="J110" s="1017"/>
      <c r="K110" s="564"/>
      <c r="L110" s="977" t="s">
        <v>921</v>
      </c>
      <c r="M110" s="978"/>
      <c r="N110" s="979"/>
      <c r="O110" s="567"/>
    </row>
    <row r="111" spans="1:15" ht="15.75" thickBot="1" x14ac:dyDescent="0.3">
      <c r="A111" s="563"/>
      <c r="B111" s="564"/>
      <c r="C111" s="570"/>
      <c r="D111" s="571"/>
      <c r="E111" s="571"/>
      <c r="F111" s="572"/>
      <c r="G111" s="564"/>
      <c r="H111" s="1018"/>
      <c r="I111" s="1019"/>
      <c r="J111" s="1020"/>
      <c r="K111" s="564"/>
      <c r="L111" s="980"/>
      <c r="M111" s="981"/>
      <c r="N111" s="982"/>
      <c r="O111" s="567"/>
    </row>
    <row r="112" spans="1:15" ht="15.75" thickBot="1" x14ac:dyDescent="0.3">
      <c r="A112" s="563"/>
      <c r="B112" s="564"/>
      <c r="C112" s="1021" t="s">
        <v>922</v>
      </c>
      <c r="D112" s="1022"/>
      <c r="E112" s="573" t="s">
        <v>923</v>
      </c>
      <c r="F112" s="1014" t="s">
        <v>924</v>
      </c>
      <c r="G112" s="564"/>
      <c r="H112" s="564"/>
      <c r="I112" s="564"/>
      <c r="J112" s="564"/>
      <c r="K112" s="564"/>
      <c r="L112" s="564"/>
      <c r="M112" s="564"/>
      <c r="N112" s="564"/>
      <c r="O112" s="567"/>
    </row>
    <row r="113" spans="1:15" ht="15.75" thickBot="1" x14ac:dyDescent="0.3">
      <c r="A113" s="563"/>
      <c r="B113" s="564"/>
      <c r="C113" s="1023"/>
      <c r="D113" s="1024"/>
      <c r="E113" s="574" t="s">
        <v>919</v>
      </c>
      <c r="F113" s="1025"/>
      <c r="G113" s="564"/>
      <c r="H113" s="564"/>
      <c r="I113" s="564"/>
      <c r="J113" s="564"/>
      <c r="K113" s="564"/>
      <c r="L113" s="564"/>
      <c r="M113" s="564"/>
      <c r="N113" s="564"/>
      <c r="O113" s="567"/>
    </row>
    <row r="114" spans="1:15" x14ac:dyDescent="0.25">
      <c r="A114" s="563"/>
      <c r="B114" s="564"/>
      <c r="C114" s="564"/>
      <c r="D114" s="564"/>
      <c r="E114" s="564"/>
      <c r="F114" s="564"/>
      <c r="G114" s="564"/>
      <c r="H114" s="564"/>
      <c r="I114" s="564"/>
      <c r="J114" s="564"/>
      <c r="K114" s="564"/>
      <c r="L114" s="564"/>
      <c r="M114" s="564"/>
      <c r="N114" s="564"/>
      <c r="O114" s="567"/>
    </row>
    <row r="115" spans="1:15" x14ac:dyDescent="0.25">
      <c r="A115" s="563"/>
      <c r="B115" s="564"/>
      <c r="C115" s="564"/>
      <c r="D115" s="564"/>
      <c r="E115" s="564"/>
      <c r="F115" s="564"/>
      <c r="G115" s="564"/>
      <c r="H115" s="564"/>
      <c r="I115" s="564"/>
      <c r="J115" s="564"/>
      <c r="K115" s="564"/>
      <c r="L115" s="564"/>
      <c r="M115" s="564"/>
      <c r="N115" s="564"/>
      <c r="O115" s="567"/>
    </row>
    <row r="116" spans="1:15" ht="15.75" thickBot="1" x14ac:dyDescent="0.3">
      <c r="A116" s="575"/>
      <c r="B116" s="576"/>
      <c r="C116" s="576"/>
      <c r="D116" s="576"/>
      <c r="E116" s="576"/>
      <c r="F116" s="576"/>
      <c r="G116" s="576"/>
      <c r="H116" s="576"/>
      <c r="I116" s="576"/>
      <c r="J116" s="576"/>
      <c r="K116" s="576"/>
      <c r="L116" s="576"/>
      <c r="M116" s="576"/>
      <c r="N116" s="576"/>
      <c r="O116" s="577"/>
    </row>
    <row r="117" spans="1:15" x14ac:dyDescent="0.25">
      <c r="A117" s="575"/>
      <c r="B117" s="576"/>
      <c r="C117" s="576"/>
      <c r="D117" s="576"/>
      <c r="E117" s="983" t="s">
        <v>925</v>
      </c>
      <c r="F117" s="984"/>
      <c r="G117" s="984"/>
      <c r="H117" s="984"/>
      <c r="I117" s="984"/>
      <c r="J117" s="984"/>
      <c r="K117" s="985"/>
      <c r="L117" s="576"/>
      <c r="M117" s="576"/>
      <c r="N117" s="576"/>
      <c r="O117" s="989" t="s">
        <v>926</v>
      </c>
    </row>
    <row r="118" spans="1:15" ht="15.75" thickBot="1" x14ac:dyDescent="0.3">
      <c r="A118" s="575"/>
      <c r="B118" s="576"/>
      <c r="C118" s="576"/>
      <c r="D118" s="576"/>
      <c r="E118" s="986"/>
      <c r="F118" s="987"/>
      <c r="G118" s="987"/>
      <c r="H118" s="987"/>
      <c r="I118" s="987"/>
      <c r="J118" s="987"/>
      <c r="K118" s="988"/>
      <c r="L118" s="576"/>
      <c r="M118" s="576"/>
      <c r="N118" s="576"/>
      <c r="O118" s="990"/>
    </row>
    <row r="119" spans="1:15" ht="20.100000000000001" customHeight="1" thickBot="1" x14ac:dyDescent="0.3">
      <c r="A119" s="575"/>
      <c r="B119" s="576"/>
      <c r="C119" s="576"/>
      <c r="D119" s="576"/>
      <c r="E119" s="991" t="s">
        <v>927</v>
      </c>
      <c r="F119" s="992"/>
      <c r="G119" s="992"/>
      <c r="H119" s="992"/>
      <c r="I119" s="992"/>
      <c r="J119" s="992"/>
      <c r="K119" s="993"/>
      <c r="L119" s="576"/>
      <c r="M119" s="576"/>
      <c r="N119" s="576"/>
      <c r="O119" s="577"/>
    </row>
    <row r="120" spans="1:15" x14ac:dyDescent="0.25">
      <c r="A120" s="575"/>
      <c r="B120" s="576"/>
      <c r="C120" s="576"/>
      <c r="D120" s="576"/>
      <c r="E120" s="576"/>
      <c r="F120" s="576"/>
      <c r="G120" s="576"/>
      <c r="H120" s="576"/>
      <c r="I120" s="576"/>
      <c r="J120" s="576"/>
      <c r="K120" s="576"/>
      <c r="L120" s="576"/>
      <c r="M120" s="576"/>
      <c r="N120" s="576"/>
      <c r="O120" s="577"/>
    </row>
    <row r="121" spans="1:15" ht="15.75" thickBot="1" x14ac:dyDescent="0.3">
      <c r="A121" s="575"/>
      <c r="B121" s="576"/>
      <c r="C121" s="576"/>
      <c r="D121" s="576"/>
      <c r="E121" s="576"/>
      <c r="F121" s="576"/>
      <c r="G121" s="576"/>
      <c r="H121" s="576"/>
      <c r="I121" s="576"/>
      <c r="J121" s="576"/>
      <c r="K121" s="576"/>
      <c r="L121" s="576"/>
      <c r="M121" s="576"/>
      <c r="N121" s="576"/>
      <c r="O121" s="577"/>
    </row>
    <row r="122" spans="1:15" ht="16.5" thickBot="1" x14ac:dyDescent="0.3">
      <c r="A122" s="575"/>
      <c r="B122" s="576"/>
      <c r="C122" s="946" t="s">
        <v>928</v>
      </c>
      <c r="D122" s="947"/>
      <c r="E122" s="947"/>
      <c r="F122" s="948"/>
      <c r="G122" s="576"/>
      <c r="H122" s="576"/>
      <c r="I122" s="576"/>
      <c r="J122" s="576"/>
      <c r="K122" s="576"/>
      <c r="L122" s="576"/>
      <c r="M122" s="576"/>
      <c r="N122" s="576"/>
      <c r="O122" s="577"/>
    </row>
    <row r="123" spans="1:15" ht="15.75" thickBot="1" x14ac:dyDescent="0.3">
      <c r="A123" s="575"/>
      <c r="B123" s="576"/>
      <c r="C123" s="578"/>
      <c r="D123" s="578"/>
      <c r="E123" s="578"/>
      <c r="F123" s="578"/>
      <c r="G123" s="576"/>
      <c r="H123" s="576"/>
      <c r="I123" s="576"/>
      <c r="J123" s="576"/>
      <c r="K123" s="576"/>
      <c r="L123" s="576"/>
      <c r="M123" s="576"/>
      <c r="N123" s="576"/>
      <c r="O123" s="577"/>
    </row>
    <row r="124" spans="1:15" ht="15.75" thickBot="1" x14ac:dyDescent="0.3">
      <c r="A124" s="575"/>
      <c r="B124" s="576"/>
      <c r="C124" s="1005" t="s">
        <v>929</v>
      </c>
      <c r="D124" s="1006"/>
      <c r="E124" s="1006"/>
      <c r="F124" s="1006"/>
      <c r="G124" s="1006"/>
      <c r="H124" s="1007"/>
      <c r="I124" s="576"/>
      <c r="J124" s="576"/>
      <c r="K124" s="576"/>
      <c r="L124" s="576"/>
      <c r="M124" s="576"/>
      <c r="N124" s="576"/>
      <c r="O124" s="577"/>
    </row>
    <row r="125" spans="1:15" ht="15.75" thickBot="1" x14ac:dyDescent="0.3">
      <c r="A125" s="575"/>
      <c r="B125" s="576"/>
      <c r="C125" s="576"/>
      <c r="D125" s="576"/>
      <c r="E125" s="576"/>
      <c r="F125" s="576"/>
      <c r="G125" s="576"/>
      <c r="H125" s="576"/>
      <c r="I125" s="576"/>
      <c r="J125" s="576"/>
      <c r="K125" s="576"/>
      <c r="L125" s="576"/>
      <c r="M125" s="576"/>
      <c r="N125" s="576"/>
      <c r="O125" s="577"/>
    </row>
    <row r="126" spans="1:15" ht="16.5" thickBot="1" x14ac:dyDescent="0.3">
      <c r="A126" s="575"/>
      <c r="B126" s="576"/>
      <c r="C126" s="568" t="s">
        <v>912</v>
      </c>
      <c r="D126" s="576"/>
      <c r="E126" s="579" t="s">
        <v>930</v>
      </c>
      <c r="F126" s="579"/>
      <c r="G126" s="576"/>
      <c r="H126" s="576"/>
      <c r="I126" s="576"/>
      <c r="J126" s="576"/>
      <c r="K126" s="576"/>
      <c r="L126" s="576"/>
      <c r="M126" s="576"/>
      <c r="N126" s="576"/>
      <c r="O126" s="577"/>
    </row>
    <row r="127" spans="1:15" x14ac:dyDescent="0.25">
      <c r="A127" s="575"/>
      <c r="B127" s="576"/>
      <c r="C127" s="576"/>
      <c r="D127" s="576"/>
      <c r="E127" s="579" t="s">
        <v>931</v>
      </c>
      <c r="F127" s="576"/>
      <c r="G127" s="576"/>
      <c r="H127" s="576"/>
      <c r="I127" s="576"/>
      <c r="J127" s="576"/>
      <c r="K127" s="576"/>
      <c r="L127" s="576"/>
      <c r="M127" s="576"/>
      <c r="N127" s="576"/>
      <c r="O127" s="577"/>
    </row>
    <row r="128" spans="1:15" x14ac:dyDescent="0.25">
      <c r="A128" s="575"/>
      <c r="B128" s="576"/>
      <c r="C128" s="576"/>
      <c r="D128" s="576"/>
      <c r="E128" s="576"/>
      <c r="F128" s="576"/>
      <c r="G128" s="576"/>
      <c r="H128" s="576"/>
      <c r="I128" s="576"/>
      <c r="J128" s="576"/>
      <c r="K128" s="576"/>
      <c r="L128" s="576"/>
      <c r="M128" s="576"/>
      <c r="N128" s="576"/>
      <c r="O128" s="577"/>
    </row>
    <row r="129" spans="1:15" ht="15.75" thickBot="1" x14ac:dyDescent="0.3">
      <c r="A129" s="575"/>
      <c r="B129" s="576"/>
      <c r="C129" s="576"/>
      <c r="D129" s="1008"/>
      <c r="E129" s="1008"/>
      <c r="F129" s="1008"/>
      <c r="G129" s="1008"/>
      <c r="H129" s="576"/>
      <c r="I129" s="576"/>
      <c r="J129" s="576"/>
      <c r="K129" s="576"/>
      <c r="L129" s="576"/>
      <c r="M129" s="576"/>
      <c r="N129" s="576"/>
      <c r="O129" s="577"/>
    </row>
    <row r="130" spans="1:15" ht="15.75" x14ac:dyDescent="0.25">
      <c r="A130" s="575"/>
      <c r="B130" s="576"/>
      <c r="C130" s="1042" t="s">
        <v>932</v>
      </c>
      <c r="D130" s="1022"/>
      <c r="E130" s="580" t="s">
        <v>933</v>
      </c>
      <c r="F130" s="1043" t="s">
        <v>934</v>
      </c>
      <c r="G130" s="1043"/>
      <c r="H130" s="581"/>
      <c r="I130" s="576"/>
      <c r="J130" s="576"/>
      <c r="K130" s="576"/>
      <c r="L130" s="576"/>
      <c r="M130" s="576"/>
      <c r="N130" s="576"/>
      <c r="O130" s="577"/>
    </row>
    <row r="131" spans="1:15" x14ac:dyDescent="0.25">
      <c r="A131" s="575"/>
      <c r="B131" s="576"/>
      <c r="C131" s="570"/>
      <c r="D131" s="571"/>
      <c r="E131" s="571"/>
      <c r="F131" s="571"/>
      <c r="G131" s="571"/>
      <c r="H131" s="572"/>
      <c r="I131" s="576"/>
      <c r="J131" s="576"/>
      <c r="K131" s="576"/>
      <c r="L131" s="576"/>
      <c r="M131" s="576"/>
      <c r="N131" s="576"/>
      <c r="O131" s="577"/>
    </row>
    <row r="132" spans="1:15" ht="15.75" thickBot="1" x14ac:dyDescent="0.3">
      <c r="A132" s="575"/>
      <c r="B132" s="576"/>
      <c r="C132" s="1021" t="s">
        <v>935</v>
      </c>
      <c r="D132" s="1022"/>
      <c r="E132" s="1044" t="s">
        <v>936</v>
      </c>
      <c r="F132" s="1044"/>
      <c r="G132" s="1043" t="s">
        <v>937</v>
      </c>
      <c r="H132" s="1014"/>
      <c r="I132" s="576"/>
      <c r="J132" s="576"/>
      <c r="K132" s="576"/>
      <c r="L132" s="576"/>
      <c r="M132" s="576"/>
      <c r="N132" s="576"/>
      <c r="O132" s="577"/>
    </row>
    <row r="133" spans="1:15" x14ac:dyDescent="0.25">
      <c r="A133" s="575"/>
      <c r="B133" s="576"/>
      <c r="C133" s="1021"/>
      <c r="D133" s="1022"/>
      <c r="E133" s="1045" t="s">
        <v>938</v>
      </c>
      <c r="F133" s="1045"/>
      <c r="G133" s="1043"/>
      <c r="H133" s="1014"/>
      <c r="I133" s="576"/>
      <c r="J133" s="576"/>
      <c r="K133" s="576"/>
      <c r="L133" s="576"/>
      <c r="M133" s="576"/>
      <c r="N133" s="576"/>
      <c r="O133" s="577"/>
    </row>
    <row r="134" spans="1:15" x14ac:dyDescent="0.25">
      <c r="A134" s="575"/>
      <c r="B134" s="576"/>
      <c r="C134" s="570"/>
      <c r="D134" s="571"/>
      <c r="E134" s="571"/>
      <c r="F134" s="571"/>
      <c r="G134" s="571"/>
      <c r="H134" s="572"/>
      <c r="I134" s="576"/>
      <c r="J134" s="576"/>
      <c r="K134" s="576"/>
      <c r="L134" s="576"/>
      <c r="M134" s="576"/>
      <c r="N134" s="576"/>
      <c r="O134" s="577"/>
    </row>
    <row r="135" spans="1:15" ht="15.75" thickBot="1" x14ac:dyDescent="0.3">
      <c r="A135" s="575"/>
      <c r="B135" s="576"/>
      <c r="C135" s="1026" t="s">
        <v>939</v>
      </c>
      <c r="D135" s="1027"/>
      <c r="E135" s="1027"/>
      <c r="F135" s="1027"/>
      <c r="G135" s="1027"/>
      <c r="H135" s="1028"/>
      <c r="I135" s="576"/>
      <c r="J135" s="576"/>
      <c r="K135" s="576"/>
      <c r="L135" s="576"/>
      <c r="M135" s="576"/>
      <c r="N135" s="576"/>
      <c r="O135" s="577"/>
    </row>
    <row r="136" spans="1:15" ht="15.75" thickBot="1" x14ac:dyDescent="0.3">
      <c r="A136" s="575"/>
      <c r="B136" s="576"/>
      <c r="C136" s="576"/>
      <c r="D136" s="576"/>
      <c r="E136" s="576"/>
      <c r="F136" s="576"/>
      <c r="G136" s="576"/>
      <c r="H136" s="576"/>
      <c r="I136" s="576"/>
      <c r="J136" s="576"/>
      <c r="K136" s="576"/>
      <c r="L136" s="576"/>
      <c r="M136" s="576"/>
      <c r="N136" s="576"/>
      <c r="O136" s="577"/>
    </row>
    <row r="137" spans="1:15" ht="15.75" customHeight="1" thickBot="1" x14ac:dyDescent="0.3">
      <c r="A137" s="575"/>
      <c r="B137" s="576"/>
      <c r="C137" s="1005" t="s">
        <v>940</v>
      </c>
      <c r="D137" s="1006"/>
      <c r="E137" s="1006"/>
      <c r="F137" s="1006"/>
      <c r="G137" s="1006"/>
      <c r="H137" s="1007"/>
      <c r="I137" s="576"/>
      <c r="J137" s="576"/>
      <c r="K137" s="576"/>
      <c r="L137" s="1029" t="s">
        <v>941</v>
      </c>
      <c r="M137" s="1030"/>
      <c r="N137" s="1031"/>
      <c r="O137" s="577"/>
    </row>
    <row r="138" spans="1:15" ht="15.75" thickBot="1" x14ac:dyDescent="0.3">
      <c r="A138" s="575"/>
      <c r="B138" s="576"/>
      <c r="C138" s="576"/>
      <c r="D138" s="576"/>
      <c r="E138" s="576"/>
      <c r="F138" s="576"/>
      <c r="G138" s="576"/>
      <c r="H138" s="576"/>
      <c r="I138" s="576"/>
      <c r="J138" s="576"/>
      <c r="K138" s="576"/>
      <c r="L138" s="1032"/>
      <c r="M138" s="1033"/>
      <c r="N138" s="1034"/>
      <c r="O138" s="577"/>
    </row>
    <row r="139" spans="1:15" ht="16.5" thickBot="1" x14ac:dyDescent="0.3">
      <c r="A139" s="575"/>
      <c r="B139" s="576"/>
      <c r="C139" s="568" t="s">
        <v>912</v>
      </c>
      <c r="D139" s="576"/>
      <c r="E139" s="1038" t="s">
        <v>942</v>
      </c>
      <c r="F139" s="1038"/>
      <c r="G139" s="1038"/>
      <c r="H139" s="576"/>
      <c r="I139" s="576"/>
      <c r="J139" s="576"/>
      <c r="K139" s="576"/>
      <c r="L139" s="1032"/>
      <c r="M139" s="1033"/>
      <c r="N139" s="1034"/>
      <c r="O139" s="577"/>
    </row>
    <row r="140" spans="1:15" x14ac:dyDescent="0.25">
      <c r="A140" s="575"/>
      <c r="B140" s="576"/>
      <c r="C140" s="576"/>
      <c r="D140" s="576"/>
      <c r="E140" s="576" t="s">
        <v>943</v>
      </c>
      <c r="F140" s="576"/>
      <c r="G140" s="576"/>
      <c r="H140" s="576"/>
      <c r="I140" s="576"/>
      <c r="J140" s="576"/>
      <c r="K140" s="576"/>
      <c r="L140" s="1032"/>
      <c r="M140" s="1033"/>
      <c r="N140" s="1034"/>
      <c r="O140" s="577"/>
    </row>
    <row r="141" spans="1:15" x14ac:dyDescent="0.25">
      <c r="A141" s="575"/>
      <c r="B141" s="576"/>
      <c r="C141" s="576"/>
      <c r="D141" s="576"/>
      <c r="E141" s="576" t="s">
        <v>944</v>
      </c>
      <c r="F141" s="576"/>
      <c r="G141" s="576"/>
      <c r="H141" s="576"/>
      <c r="I141" s="576"/>
      <c r="J141" s="576"/>
      <c r="K141" s="576"/>
      <c r="L141" s="1032"/>
      <c r="M141" s="1033"/>
      <c r="N141" s="1034"/>
      <c r="O141" s="577"/>
    </row>
    <row r="142" spans="1:15" ht="15.75" thickBot="1" x14ac:dyDescent="0.3">
      <c r="A142" s="575"/>
      <c r="B142" s="576"/>
      <c r="C142" s="576"/>
      <c r="D142" s="576"/>
      <c r="E142" s="576"/>
      <c r="F142" s="576"/>
      <c r="G142" s="576"/>
      <c r="H142" s="576"/>
      <c r="I142" s="576"/>
      <c r="J142" s="576"/>
      <c r="K142" s="576"/>
      <c r="L142" s="1035"/>
      <c r="M142" s="1036"/>
      <c r="N142" s="1037"/>
      <c r="O142" s="577"/>
    </row>
    <row r="143" spans="1:15" ht="15.75" thickBot="1" x14ac:dyDescent="0.3">
      <c r="A143" s="575"/>
      <c r="B143" s="576"/>
      <c r="C143" s="576"/>
      <c r="D143" s="576"/>
      <c r="E143" s="576"/>
      <c r="F143" s="576"/>
      <c r="G143" s="576"/>
      <c r="H143" s="576"/>
      <c r="I143" s="576"/>
      <c r="J143" s="576"/>
      <c r="K143" s="576"/>
      <c r="L143" s="583"/>
      <c r="M143" s="583"/>
      <c r="N143" s="583"/>
      <c r="O143" s="577"/>
    </row>
    <row r="144" spans="1:15" ht="15.75" x14ac:dyDescent="0.25">
      <c r="A144" s="575"/>
      <c r="B144" s="576"/>
      <c r="C144" s="1039" t="s">
        <v>932</v>
      </c>
      <c r="D144" s="1040"/>
      <c r="E144" s="582" t="s">
        <v>945</v>
      </c>
      <c r="F144" s="1041" t="s">
        <v>946</v>
      </c>
      <c r="G144" s="1041"/>
      <c r="H144" s="581"/>
      <c r="I144" s="576"/>
      <c r="J144" s="576"/>
      <c r="K144" s="576"/>
      <c r="L144" s="584"/>
      <c r="M144" s="584"/>
      <c r="N144" s="584"/>
      <c r="O144" s="577"/>
    </row>
    <row r="145" spans="1:15" x14ac:dyDescent="0.25">
      <c r="A145" s="575"/>
      <c r="B145" s="576"/>
      <c r="C145" s="570"/>
      <c r="D145" s="571"/>
      <c r="E145" s="571"/>
      <c r="F145" s="571"/>
      <c r="G145" s="571"/>
      <c r="H145" s="572"/>
      <c r="I145" s="576"/>
      <c r="J145" s="576"/>
      <c r="K145" s="576"/>
      <c r="L145" s="584"/>
      <c r="M145" s="584"/>
      <c r="N145" s="584"/>
      <c r="O145" s="577"/>
    </row>
    <row r="146" spans="1:15" ht="15.75" thickBot="1" x14ac:dyDescent="0.3">
      <c r="A146" s="575"/>
      <c r="B146" s="576"/>
      <c r="C146" s="1021" t="s">
        <v>935</v>
      </c>
      <c r="D146" s="1022"/>
      <c r="E146" s="1044" t="s">
        <v>947</v>
      </c>
      <c r="F146" s="1044"/>
      <c r="G146" s="1043" t="s">
        <v>948</v>
      </c>
      <c r="H146" s="1014"/>
      <c r="I146" s="576"/>
      <c r="J146" s="576"/>
      <c r="K146" s="576"/>
      <c r="L146" s="584"/>
      <c r="M146" s="584"/>
      <c r="N146" s="584"/>
      <c r="O146" s="577"/>
    </row>
    <row r="147" spans="1:15" ht="15.75" thickBot="1" x14ac:dyDescent="0.3">
      <c r="A147" s="575"/>
      <c r="B147" s="576"/>
      <c r="C147" s="1021"/>
      <c r="D147" s="1022"/>
      <c r="E147" s="1045" t="s">
        <v>949</v>
      </c>
      <c r="F147" s="1045"/>
      <c r="G147" s="1043"/>
      <c r="H147" s="1014"/>
      <c r="I147" s="576"/>
      <c r="J147" s="576"/>
      <c r="K147" s="576"/>
      <c r="L147" s="584"/>
      <c r="M147" s="584"/>
      <c r="N147" s="584"/>
      <c r="O147" s="577"/>
    </row>
    <row r="148" spans="1:15" ht="15.75" thickTop="1" x14ac:dyDescent="0.25">
      <c r="A148" s="575"/>
      <c r="B148" s="576"/>
      <c r="C148" s="570"/>
      <c r="D148" s="571"/>
      <c r="E148" s="571"/>
      <c r="F148" s="571"/>
      <c r="G148" s="571"/>
      <c r="H148" s="572"/>
      <c r="I148" s="576"/>
      <c r="J148" s="576"/>
      <c r="K148" s="1053" t="s">
        <v>950</v>
      </c>
      <c r="L148" s="1054"/>
      <c r="M148" s="1054"/>
      <c r="N148" s="1055"/>
      <c r="O148" s="577"/>
    </row>
    <row r="149" spans="1:15" ht="15.75" thickBot="1" x14ac:dyDescent="0.3">
      <c r="A149" s="575"/>
      <c r="B149" s="576"/>
      <c r="C149" s="1026" t="s">
        <v>951</v>
      </c>
      <c r="D149" s="1027"/>
      <c r="E149" s="1027"/>
      <c r="F149" s="1027"/>
      <c r="G149" s="1027"/>
      <c r="H149" s="1028"/>
      <c r="I149" s="576"/>
      <c r="J149" s="576"/>
      <c r="K149" s="1056"/>
      <c r="L149" s="1057"/>
      <c r="M149" s="1057"/>
      <c r="N149" s="1058"/>
      <c r="O149" s="577"/>
    </row>
    <row r="150" spans="1:15" x14ac:dyDescent="0.25">
      <c r="A150" s="575"/>
      <c r="B150" s="576"/>
      <c r="C150" s="576"/>
      <c r="D150" s="576"/>
      <c r="E150" s="576"/>
      <c r="F150" s="576"/>
      <c r="G150" s="576"/>
      <c r="H150" s="576"/>
      <c r="I150" s="576"/>
      <c r="J150" s="576"/>
      <c r="K150" s="576"/>
      <c r="L150" s="576"/>
      <c r="M150" s="576"/>
      <c r="N150" s="576"/>
      <c r="O150" s="577"/>
    </row>
    <row r="151" spans="1:15" ht="15.75" thickBot="1" x14ac:dyDescent="0.3">
      <c r="A151" s="570"/>
      <c r="B151" s="571"/>
      <c r="C151" s="571"/>
      <c r="D151" s="571"/>
      <c r="E151" s="571"/>
      <c r="F151" s="571"/>
      <c r="G151" s="571"/>
      <c r="H151" s="571"/>
      <c r="I151" s="571"/>
      <c r="J151" s="571"/>
      <c r="K151" s="571"/>
      <c r="L151" s="571"/>
      <c r="M151" s="571"/>
      <c r="N151" s="571"/>
      <c r="O151" s="572"/>
    </row>
    <row r="152" spans="1:15" x14ac:dyDescent="0.25">
      <c r="A152" s="570"/>
      <c r="B152" s="571"/>
      <c r="C152" s="571"/>
      <c r="D152" s="571"/>
      <c r="E152" s="983" t="s">
        <v>952</v>
      </c>
      <c r="F152" s="984"/>
      <c r="G152" s="984"/>
      <c r="H152" s="984"/>
      <c r="I152" s="984"/>
      <c r="J152" s="984"/>
      <c r="K152" s="985"/>
      <c r="L152" s="571"/>
      <c r="M152" s="571"/>
      <c r="N152" s="571"/>
      <c r="O152" s="989" t="s">
        <v>953</v>
      </c>
    </row>
    <row r="153" spans="1:15" ht="15.75" thickBot="1" x14ac:dyDescent="0.3">
      <c r="A153" s="570"/>
      <c r="B153" s="571"/>
      <c r="C153" s="571"/>
      <c r="D153" s="571"/>
      <c r="E153" s="986"/>
      <c r="F153" s="987"/>
      <c r="G153" s="987"/>
      <c r="H153" s="987"/>
      <c r="I153" s="987"/>
      <c r="J153" s="987"/>
      <c r="K153" s="988"/>
      <c r="L153" s="571"/>
      <c r="M153" s="571"/>
      <c r="N153" s="571"/>
      <c r="O153" s="990"/>
    </row>
    <row r="154" spans="1:15" ht="20.100000000000001" customHeight="1" thickBot="1" x14ac:dyDescent="0.3">
      <c r="A154" s="570"/>
      <c r="B154" s="571"/>
      <c r="C154" s="571"/>
      <c r="D154" s="571"/>
      <c r="E154" s="991" t="s">
        <v>954</v>
      </c>
      <c r="F154" s="992"/>
      <c r="G154" s="992"/>
      <c r="H154" s="992"/>
      <c r="I154" s="992"/>
      <c r="J154" s="992"/>
      <c r="K154" s="993"/>
      <c r="L154" s="571"/>
      <c r="M154" s="571"/>
      <c r="N154" s="571"/>
      <c r="O154" s="572"/>
    </row>
    <row r="155" spans="1:15" ht="20.100000000000001" customHeight="1" thickBot="1" x14ac:dyDescent="0.4">
      <c r="A155" s="570"/>
      <c r="B155" s="571"/>
      <c r="C155" s="571"/>
      <c r="D155" s="571"/>
      <c r="E155" s="585"/>
      <c r="F155" s="585"/>
      <c r="G155" s="585"/>
      <c r="H155" s="585"/>
      <c r="I155" s="585"/>
      <c r="J155" s="585"/>
      <c r="K155" s="585"/>
      <c r="L155" s="571"/>
      <c r="M155" s="571"/>
      <c r="N155" s="571"/>
      <c r="O155" s="572"/>
    </row>
    <row r="156" spans="1:15" ht="20.100000000000001" customHeight="1" thickBot="1" x14ac:dyDescent="0.4">
      <c r="A156" s="570"/>
      <c r="B156" s="1046" t="s">
        <v>955</v>
      </c>
      <c r="C156" s="1047"/>
      <c r="D156" s="571"/>
      <c r="E156" s="585"/>
      <c r="F156" s="585"/>
      <c r="G156" s="585"/>
      <c r="H156" s="585"/>
      <c r="I156" s="585"/>
      <c r="J156" s="585"/>
      <c r="K156" s="585"/>
      <c r="L156" s="571"/>
      <c r="M156" s="571"/>
      <c r="N156" s="571"/>
      <c r="O156" s="572"/>
    </row>
    <row r="157" spans="1:15" ht="15.75" thickBot="1" x14ac:dyDescent="0.3">
      <c r="A157" s="570"/>
      <c r="B157" s="571"/>
      <c r="C157" s="571"/>
      <c r="D157" s="571"/>
      <c r="E157" s="571"/>
      <c r="F157" s="571"/>
      <c r="G157" s="571"/>
      <c r="H157" s="571"/>
      <c r="I157" s="571"/>
      <c r="J157" s="571"/>
      <c r="K157" s="571"/>
      <c r="L157" s="571"/>
      <c r="M157" s="571"/>
      <c r="N157" s="571"/>
      <c r="O157" s="572"/>
    </row>
    <row r="158" spans="1:15" ht="16.5" thickBot="1" x14ac:dyDescent="0.3">
      <c r="A158" s="570"/>
      <c r="B158" s="1048" t="s">
        <v>956</v>
      </c>
      <c r="C158" s="1049"/>
      <c r="D158" s="571"/>
      <c r="E158" s="1050" t="s">
        <v>957</v>
      </c>
      <c r="F158" s="1051"/>
      <c r="G158" s="1051"/>
      <c r="H158" s="1052"/>
      <c r="I158" s="571"/>
      <c r="J158" s="571"/>
      <c r="K158" s="571"/>
      <c r="L158" s="571"/>
      <c r="M158" s="571"/>
      <c r="N158" s="571"/>
      <c r="O158" s="572"/>
    </row>
    <row r="159" spans="1:15" x14ac:dyDescent="0.25">
      <c r="A159" s="570"/>
      <c r="B159" s="571"/>
      <c r="C159" s="571"/>
      <c r="D159" s="571"/>
      <c r="E159" s="571"/>
      <c r="F159" s="571"/>
      <c r="G159" s="571"/>
      <c r="H159" s="571"/>
      <c r="I159" s="571"/>
      <c r="J159" s="571"/>
      <c r="K159" s="571"/>
      <c r="L159" s="571"/>
      <c r="M159" s="571"/>
      <c r="N159" s="571"/>
      <c r="O159" s="572"/>
    </row>
    <row r="160" spans="1:15" x14ac:dyDescent="0.25">
      <c r="A160" s="570"/>
      <c r="B160" s="571" t="s">
        <v>958</v>
      </c>
      <c r="C160" s="571"/>
      <c r="D160" s="571"/>
      <c r="E160" s="571"/>
      <c r="F160" s="571"/>
      <c r="G160" s="571"/>
      <c r="H160" s="571"/>
      <c r="I160" s="571"/>
      <c r="J160" s="571"/>
      <c r="K160" s="571"/>
      <c r="L160" s="571"/>
      <c r="M160" s="571"/>
      <c r="N160" s="571"/>
      <c r="O160" s="572"/>
    </row>
    <row r="161" spans="1:15" ht="15.75" thickBot="1" x14ac:dyDescent="0.3">
      <c r="A161" s="570"/>
      <c r="B161" s="571"/>
      <c r="C161" s="571"/>
      <c r="D161" s="571"/>
      <c r="E161" s="571"/>
      <c r="F161" s="571"/>
      <c r="G161" s="571"/>
      <c r="H161" s="571"/>
      <c r="I161" s="571"/>
      <c r="J161" s="571"/>
      <c r="K161" s="571"/>
      <c r="L161" s="571"/>
      <c r="M161" s="571"/>
      <c r="N161" s="571"/>
      <c r="O161" s="572"/>
    </row>
    <row r="162" spans="1:15" ht="16.5" thickBot="1" x14ac:dyDescent="0.3">
      <c r="A162" s="570"/>
      <c r="B162" s="1067" t="s">
        <v>912</v>
      </c>
      <c r="C162" s="1068"/>
      <c r="D162" s="586" t="s">
        <v>959</v>
      </c>
      <c r="E162" s="586"/>
      <c r="F162" s="571"/>
      <c r="G162" s="571"/>
      <c r="H162" s="571"/>
      <c r="I162" s="571"/>
      <c r="J162" s="571"/>
      <c r="K162" s="571"/>
      <c r="L162" s="571"/>
      <c r="M162" s="571"/>
      <c r="N162" s="571"/>
      <c r="O162" s="572"/>
    </row>
    <row r="163" spans="1:15" ht="15.75" thickBot="1" x14ac:dyDescent="0.3">
      <c r="A163" s="570"/>
      <c r="B163" s="571"/>
      <c r="C163" s="571"/>
      <c r="D163" s="571"/>
      <c r="E163" s="571"/>
      <c r="F163" s="571"/>
      <c r="G163" s="571"/>
      <c r="H163" s="571"/>
      <c r="I163" s="571"/>
      <c r="J163" s="571"/>
      <c r="K163" s="571"/>
      <c r="L163" s="587" t="s">
        <v>912</v>
      </c>
      <c r="M163" s="548" t="s">
        <v>960</v>
      </c>
      <c r="N163" s="548"/>
      <c r="O163" s="549"/>
    </row>
    <row r="164" spans="1:15" ht="16.5" thickBot="1" x14ac:dyDescent="0.3">
      <c r="A164" s="570"/>
      <c r="B164" s="1048" t="s">
        <v>961</v>
      </c>
      <c r="C164" s="1049"/>
      <c r="D164" s="571"/>
      <c r="E164" s="1050" t="s">
        <v>962</v>
      </c>
      <c r="F164" s="1051"/>
      <c r="G164" s="1051"/>
      <c r="H164" s="1052"/>
      <c r="I164" s="571"/>
      <c r="J164" s="571"/>
      <c r="K164" s="571"/>
      <c r="L164" s="550"/>
      <c r="M164" s="551" t="s">
        <v>963</v>
      </c>
      <c r="N164" s="551"/>
      <c r="O164" s="552"/>
    </row>
    <row r="165" spans="1:15" x14ac:dyDescent="0.25">
      <c r="A165" s="570"/>
      <c r="B165" s="571"/>
      <c r="C165" s="571"/>
      <c r="D165" s="571"/>
      <c r="E165" s="571"/>
      <c r="F165" s="571"/>
      <c r="G165" s="571"/>
      <c r="H165" s="571"/>
      <c r="I165" s="571"/>
      <c r="J165" s="571"/>
      <c r="K165" s="571"/>
      <c r="L165" s="550"/>
      <c r="M165" s="551" t="s">
        <v>964</v>
      </c>
      <c r="N165" s="551"/>
      <c r="O165" s="552"/>
    </row>
    <row r="166" spans="1:15" x14ac:dyDescent="0.25">
      <c r="A166" s="570"/>
      <c r="B166" s="571" t="s">
        <v>965</v>
      </c>
      <c r="C166" s="571"/>
      <c r="D166" s="571"/>
      <c r="E166" s="571"/>
      <c r="F166" s="571"/>
      <c r="G166" s="571"/>
      <c r="H166" s="571"/>
      <c r="I166" s="571"/>
      <c r="J166" s="571"/>
      <c r="K166" s="571"/>
      <c r="L166" s="550"/>
      <c r="M166" s="551" t="s">
        <v>966</v>
      </c>
      <c r="N166" s="551"/>
      <c r="O166" s="552"/>
    </row>
    <row r="167" spans="1:15" ht="15.75" thickBot="1" x14ac:dyDescent="0.3">
      <c r="A167" s="570"/>
      <c r="B167" s="571"/>
      <c r="C167" s="571"/>
      <c r="D167" s="571"/>
      <c r="E167" s="571"/>
      <c r="F167" s="571"/>
      <c r="G167" s="571"/>
      <c r="H167" s="571"/>
      <c r="I167" s="571"/>
      <c r="J167" s="571"/>
      <c r="K167" s="571"/>
      <c r="L167" s="550"/>
      <c r="M167" s="551" t="s">
        <v>967</v>
      </c>
      <c r="N167" s="551"/>
      <c r="O167" s="552"/>
    </row>
    <row r="168" spans="1:15" ht="16.5" thickBot="1" x14ac:dyDescent="0.3">
      <c r="A168" s="570"/>
      <c r="B168" s="1067" t="s">
        <v>912</v>
      </c>
      <c r="C168" s="1068"/>
      <c r="D168" s="571" t="s">
        <v>968</v>
      </c>
      <c r="E168" s="571"/>
      <c r="F168" s="571"/>
      <c r="G168" s="571"/>
      <c r="H168" s="571"/>
      <c r="I168" s="571"/>
      <c r="J168" s="571"/>
      <c r="K168" s="571"/>
      <c r="L168" s="550"/>
      <c r="M168" s="551"/>
      <c r="N168" s="551"/>
      <c r="O168" s="552"/>
    </row>
    <row r="169" spans="1:15" x14ac:dyDescent="0.25">
      <c r="A169" s="570"/>
      <c r="B169" s="571"/>
      <c r="C169" s="571"/>
      <c r="D169" s="571"/>
      <c r="E169" s="571"/>
      <c r="F169" s="571"/>
      <c r="G169" s="571"/>
      <c r="H169" s="571"/>
      <c r="I169" s="571"/>
      <c r="J169" s="571"/>
      <c r="K169" s="571"/>
      <c r="L169" s="550" t="s">
        <v>969</v>
      </c>
      <c r="M169" s="551"/>
      <c r="N169" s="551"/>
      <c r="O169" s="552"/>
    </row>
    <row r="170" spans="1:15" x14ac:dyDescent="0.25">
      <c r="A170" s="570"/>
      <c r="B170" s="571"/>
      <c r="C170" s="571"/>
      <c r="D170" s="571"/>
      <c r="E170" s="571"/>
      <c r="F170" s="571"/>
      <c r="G170" s="571"/>
      <c r="H170" s="571"/>
      <c r="I170" s="571"/>
      <c r="J170" s="571"/>
      <c r="K170" s="571"/>
      <c r="L170" s="550" t="s">
        <v>970</v>
      </c>
      <c r="M170" s="551"/>
      <c r="N170" s="551"/>
      <c r="O170" s="552"/>
    </row>
    <row r="171" spans="1:15" x14ac:dyDescent="0.25">
      <c r="A171" s="570"/>
      <c r="B171" s="571"/>
      <c r="C171" s="571"/>
      <c r="D171" s="571"/>
      <c r="E171" s="571"/>
      <c r="F171" s="571"/>
      <c r="G171" s="571"/>
      <c r="H171" s="571"/>
      <c r="I171" s="571"/>
      <c r="J171" s="571"/>
      <c r="K171" s="571"/>
      <c r="L171" s="550" t="s">
        <v>971</v>
      </c>
      <c r="M171" s="551"/>
      <c r="N171" s="551"/>
      <c r="O171" s="552"/>
    </row>
    <row r="172" spans="1:15" ht="15.75" thickBot="1" x14ac:dyDescent="0.3">
      <c r="A172" s="570"/>
      <c r="B172" s="571"/>
      <c r="C172" s="571"/>
      <c r="D172" s="571"/>
      <c r="E172" s="571"/>
      <c r="F172" s="571"/>
      <c r="G172" s="571"/>
      <c r="H172" s="571"/>
      <c r="I172" s="571"/>
      <c r="J172" s="571"/>
      <c r="K172" s="571"/>
      <c r="L172" s="550" t="s">
        <v>972</v>
      </c>
      <c r="M172" s="551"/>
      <c r="N172" s="551"/>
      <c r="O172" s="552"/>
    </row>
    <row r="173" spans="1:15" ht="20.100000000000001" customHeight="1" thickBot="1" x14ac:dyDescent="0.3">
      <c r="A173" s="570"/>
      <c r="B173" s="1046" t="s">
        <v>973</v>
      </c>
      <c r="C173" s="1047"/>
      <c r="D173" s="571"/>
      <c r="E173" s="571"/>
      <c r="F173" s="571"/>
      <c r="G173" s="571"/>
      <c r="H173" s="571"/>
      <c r="I173" s="571"/>
      <c r="J173" s="571"/>
      <c r="K173" s="571"/>
      <c r="L173" s="588" t="s">
        <v>974</v>
      </c>
      <c r="M173" s="589"/>
      <c r="N173" s="589"/>
      <c r="O173" s="590"/>
    </row>
    <row r="174" spans="1:15" ht="15.75" thickBot="1" x14ac:dyDescent="0.3">
      <c r="A174" s="570"/>
      <c r="B174" s="571"/>
      <c r="C174" s="571"/>
      <c r="D174" s="571"/>
      <c r="E174" s="571"/>
      <c r="F174" s="571"/>
      <c r="G174" s="571"/>
      <c r="H174" s="571"/>
      <c r="I174" s="571"/>
      <c r="J174" s="571"/>
      <c r="K174" s="571"/>
      <c r="L174" s="571"/>
      <c r="M174" s="571"/>
      <c r="N174" s="571"/>
      <c r="O174" s="572"/>
    </row>
    <row r="175" spans="1:15" ht="15.75" thickBot="1" x14ac:dyDescent="0.3">
      <c r="A175" s="570"/>
      <c r="B175" s="1048" t="s">
        <v>975</v>
      </c>
      <c r="C175" s="1059"/>
      <c r="D175" s="1049"/>
      <c r="E175" s="571"/>
      <c r="F175" s="571" t="s">
        <v>976</v>
      </c>
      <c r="G175" s="571"/>
      <c r="H175" s="571"/>
      <c r="I175" s="571"/>
      <c r="J175" s="571"/>
      <c r="K175" s="571"/>
      <c r="L175" s="571"/>
      <c r="M175" s="571"/>
      <c r="N175" s="571"/>
      <c r="O175" s="572"/>
    </row>
    <row r="176" spans="1:15" x14ac:dyDescent="0.25">
      <c r="A176" s="570"/>
      <c r="B176" s="571"/>
      <c r="C176" s="571"/>
      <c r="D176" s="571"/>
      <c r="E176" s="571"/>
      <c r="F176" s="571" t="s">
        <v>977</v>
      </c>
      <c r="G176" s="571"/>
      <c r="H176" s="571"/>
      <c r="I176" s="571"/>
      <c r="J176" s="571"/>
      <c r="K176" s="571"/>
      <c r="L176" s="571"/>
      <c r="M176" s="571"/>
      <c r="N176" s="571"/>
      <c r="O176" s="572"/>
    </row>
    <row r="177" spans="1:15" ht="15.75" thickBot="1" x14ac:dyDescent="0.3">
      <c r="A177" s="570"/>
      <c r="B177" s="571"/>
      <c r="C177" s="571"/>
      <c r="D177" s="571"/>
      <c r="E177" s="571"/>
      <c r="F177" s="571" t="s">
        <v>978</v>
      </c>
      <c r="G177" s="571"/>
      <c r="H177" s="571"/>
      <c r="I177" s="571"/>
      <c r="J177" s="571"/>
      <c r="K177" s="571"/>
      <c r="L177" s="571"/>
      <c r="M177" s="571"/>
      <c r="N177" s="571"/>
      <c r="O177" s="572"/>
    </row>
    <row r="178" spans="1:15" ht="20.100000000000001" customHeight="1" thickBot="1" x14ac:dyDescent="0.3">
      <c r="A178" s="570"/>
      <c r="B178" s="1046" t="s">
        <v>979</v>
      </c>
      <c r="C178" s="1047"/>
      <c r="D178" s="571"/>
      <c r="E178" s="571"/>
      <c r="F178" s="571"/>
      <c r="G178" s="571"/>
      <c r="H178" s="571"/>
      <c r="I178" s="571"/>
      <c r="J178" s="571"/>
      <c r="K178" s="571"/>
      <c r="L178" s="571"/>
      <c r="M178" s="571"/>
      <c r="N178" s="571"/>
      <c r="O178" s="572"/>
    </row>
    <row r="179" spans="1:15" ht="15.75" thickBot="1" x14ac:dyDescent="0.3">
      <c r="A179" s="570"/>
      <c r="B179" s="571"/>
      <c r="C179" s="571"/>
      <c r="D179" s="571"/>
      <c r="E179" s="571"/>
      <c r="F179" s="571"/>
      <c r="G179" s="571"/>
      <c r="H179" s="571"/>
      <c r="I179" s="571"/>
      <c r="J179" s="571"/>
      <c r="K179" s="571"/>
      <c r="L179" s="571"/>
      <c r="M179" s="571"/>
      <c r="N179" s="571"/>
      <c r="O179" s="572"/>
    </row>
    <row r="180" spans="1:15" ht="15.75" thickBot="1" x14ac:dyDescent="0.3">
      <c r="A180" s="570"/>
      <c r="B180" s="1048" t="s">
        <v>980</v>
      </c>
      <c r="C180" s="1059"/>
      <c r="D180" s="1049"/>
      <c r="E180" s="571"/>
      <c r="F180" s="571" t="s">
        <v>981</v>
      </c>
      <c r="G180" s="571"/>
      <c r="H180" s="571"/>
      <c r="I180" s="571"/>
      <c r="J180" s="571"/>
      <c r="K180" s="571"/>
      <c r="L180" s="571"/>
      <c r="M180" s="571"/>
      <c r="N180" s="571"/>
      <c r="O180" s="572"/>
    </row>
    <row r="181" spans="1:15" x14ac:dyDescent="0.25">
      <c r="A181" s="570"/>
      <c r="B181" s="571"/>
      <c r="C181" s="571"/>
      <c r="D181" s="571"/>
      <c r="E181" s="571"/>
      <c r="F181" s="571" t="s">
        <v>982</v>
      </c>
      <c r="G181" s="571"/>
      <c r="H181" s="571"/>
      <c r="I181" s="571"/>
      <c r="J181" s="571"/>
      <c r="K181" s="571"/>
      <c r="L181" s="571"/>
      <c r="M181" s="571"/>
      <c r="N181" s="571"/>
      <c r="O181" s="572"/>
    </row>
    <row r="182" spans="1:15" ht="15.75" thickBot="1" x14ac:dyDescent="0.3">
      <c r="A182" s="570"/>
      <c r="B182" s="571"/>
      <c r="C182" s="571"/>
      <c r="D182" s="571"/>
      <c r="E182" s="571"/>
      <c r="F182" s="571" t="s">
        <v>983</v>
      </c>
      <c r="G182" s="571"/>
      <c r="H182" s="571"/>
      <c r="I182" s="571"/>
      <c r="J182" s="571"/>
      <c r="K182" s="571"/>
      <c r="L182" s="571"/>
      <c r="M182" s="571"/>
      <c r="N182" s="571"/>
      <c r="O182" s="572"/>
    </row>
    <row r="183" spans="1:15" ht="20.100000000000001" customHeight="1" thickBot="1" x14ac:dyDescent="0.3">
      <c r="A183" s="570"/>
      <c r="B183" s="1046" t="s">
        <v>984</v>
      </c>
      <c r="C183" s="1047"/>
      <c r="D183" s="571"/>
      <c r="E183" s="571"/>
      <c r="F183" s="571"/>
      <c r="G183" s="571"/>
      <c r="H183" s="571"/>
      <c r="I183" s="571"/>
      <c r="J183" s="571"/>
      <c r="K183" s="571"/>
      <c r="L183" s="571"/>
      <c r="M183" s="571"/>
      <c r="N183" s="571"/>
      <c r="O183" s="572"/>
    </row>
    <row r="184" spans="1:15" ht="15.75" thickBot="1" x14ac:dyDescent="0.3">
      <c r="A184" s="570"/>
      <c r="B184" s="571"/>
      <c r="C184" s="571"/>
      <c r="D184" s="571"/>
      <c r="E184" s="1060" t="s">
        <v>985</v>
      </c>
      <c r="F184" s="1061"/>
      <c r="G184" s="1061"/>
      <c r="H184" s="1061"/>
      <c r="I184" s="1061"/>
      <c r="J184" s="1062"/>
      <c r="K184" s="571"/>
      <c r="L184" s="571"/>
      <c r="M184" s="571"/>
      <c r="N184" s="571"/>
      <c r="O184" s="572"/>
    </row>
    <row r="185" spans="1:15" ht="15.75" thickBot="1" x14ac:dyDescent="0.3">
      <c r="A185" s="570"/>
      <c r="B185" s="571"/>
      <c r="C185" s="571"/>
      <c r="D185" s="571"/>
      <c r="E185" s="571"/>
      <c r="F185" s="571"/>
      <c r="G185" s="571"/>
      <c r="H185" s="571"/>
      <c r="I185" s="571"/>
      <c r="J185" s="571"/>
      <c r="K185" s="571"/>
      <c r="L185" s="571"/>
      <c r="M185" s="571"/>
      <c r="N185" s="571"/>
      <c r="O185" s="572"/>
    </row>
    <row r="186" spans="1:15" x14ac:dyDescent="0.25">
      <c r="A186" s="570"/>
      <c r="B186" s="591" t="s">
        <v>986</v>
      </c>
      <c r="C186" s="592"/>
      <c r="D186" s="592"/>
      <c r="E186" s="592"/>
      <c r="F186" s="592"/>
      <c r="G186" s="592"/>
      <c r="H186" s="592"/>
      <c r="I186" s="592"/>
      <c r="J186" s="592"/>
      <c r="K186" s="592"/>
      <c r="L186" s="593"/>
      <c r="M186" s="571"/>
      <c r="N186" s="571"/>
      <c r="O186" s="572"/>
    </row>
    <row r="187" spans="1:15" ht="15.75" thickBot="1" x14ac:dyDescent="0.3">
      <c r="A187" s="570"/>
      <c r="B187" s="594" t="s">
        <v>987</v>
      </c>
      <c r="C187" s="595"/>
      <c r="D187" s="595"/>
      <c r="E187" s="595"/>
      <c r="F187" s="595"/>
      <c r="G187" s="1063" t="s">
        <v>988</v>
      </c>
      <c r="H187" s="1064" t="s">
        <v>989</v>
      </c>
      <c r="I187" s="1064"/>
      <c r="J187" s="1065" t="s">
        <v>990</v>
      </c>
      <c r="K187" s="1065"/>
      <c r="L187" s="597"/>
      <c r="M187" s="571"/>
      <c r="N187" s="571"/>
      <c r="O187" s="572"/>
    </row>
    <row r="188" spans="1:15" x14ac:dyDescent="0.25">
      <c r="A188" s="570"/>
      <c r="B188" s="594" t="s">
        <v>991</v>
      </c>
      <c r="C188" s="595"/>
      <c r="D188" s="595"/>
      <c r="E188" s="595"/>
      <c r="F188" s="595"/>
      <c r="G188" s="1063"/>
      <c r="H188" s="1066" t="s">
        <v>992</v>
      </c>
      <c r="I188" s="1066"/>
      <c r="J188" s="1065"/>
      <c r="K188" s="1065"/>
      <c r="L188" s="597"/>
      <c r="M188" s="571"/>
      <c r="N188" s="571"/>
      <c r="O188" s="572"/>
    </row>
    <row r="189" spans="1:15" x14ac:dyDescent="0.25">
      <c r="A189" s="570"/>
      <c r="B189" s="594" t="s">
        <v>993</v>
      </c>
      <c r="C189" s="595"/>
      <c r="D189" s="595"/>
      <c r="E189" s="595"/>
      <c r="F189" s="595"/>
      <c r="G189" s="1063" t="s">
        <v>994</v>
      </c>
      <c r="H189" s="595"/>
      <c r="I189" s="595"/>
      <c r="J189" s="595"/>
      <c r="K189" s="595"/>
      <c r="L189" s="597"/>
      <c r="M189" s="571"/>
      <c r="N189" s="571"/>
      <c r="O189" s="572"/>
    </row>
    <row r="190" spans="1:15" x14ac:dyDescent="0.25">
      <c r="A190" s="570"/>
      <c r="B190" s="599"/>
      <c r="C190" s="595"/>
      <c r="D190" s="595"/>
      <c r="E190" s="595"/>
      <c r="F190" s="595"/>
      <c r="G190" s="1063"/>
      <c r="H190" s="595"/>
      <c r="I190" s="595"/>
      <c r="J190" s="595"/>
      <c r="K190" s="595"/>
      <c r="L190" s="597"/>
      <c r="M190" s="571"/>
      <c r="N190" s="571"/>
      <c r="O190" s="572"/>
    </row>
    <row r="191" spans="1:15" ht="15.75" thickBot="1" x14ac:dyDescent="0.3">
      <c r="A191" s="570"/>
      <c r="B191" s="599"/>
      <c r="C191" s="595"/>
      <c r="D191" s="595"/>
      <c r="E191" s="595"/>
      <c r="F191" s="1063" t="s">
        <v>995</v>
      </c>
      <c r="G191" s="1063"/>
      <c r="H191" s="1075" t="s">
        <v>996</v>
      </c>
      <c r="I191" s="1075"/>
      <c r="J191" s="1065" t="s">
        <v>997</v>
      </c>
      <c r="K191" s="1065"/>
      <c r="L191" s="597"/>
      <c r="M191" s="571"/>
      <c r="N191" s="571"/>
      <c r="O191" s="572"/>
    </row>
    <row r="192" spans="1:15" x14ac:dyDescent="0.25">
      <c r="A192" s="570"/>
      <c r="B192" s="599"/>
      <c r="C192" s="595"/>
      <c r="D192" s="595"/>
      <c r="E192" s="595"/>
      <c r="F192" s="1063"/>
      <c r="G192" s="1063"/>
      <c r="H192" s="1076" t="s">
        <v>992</v>
      </c>
      <c r="I192" s="1076"/>
      <c r="J192" s="1065"/>
      <c r="K192" s="1065"/>
      <c r="L192" s="597"/>
      <c r="M192" s="571"/>
      <c r="N192" s="571"/>
      <c r="O192" s="572"/>
    </row>
    <row r="193" spans="1:15" ht="15.75" thickBot="1" x14ac:dyDescent="0.3">
      <c r="A193" s="570"/>
      <c r="B193" s="600"/>
      <c r="C193" s="601"/>
      <c r="D193" s="601"/>
      <c r="E193" s="601"/>
      <c r="F193" s="601"/>
      <c r="G193" s="601"/>
      <c r="H193" s="601"/>
      <c r="I193" s="601"/>
      <c r="J193" s="601"/>
      <c r="K193" s="601"/>
      <c r="L193" s="602"/>
      <c r="M193" s="571"/>
      <c r="N193" s="571"/>
      <c r="O193" s="572"/>
    </row>
    <row r="194" spans="1:15" ht="15.75" thickBot="1" x14ac:dyDescent="0.3">
      <c r="A194" s="570"/>
      <c r="B194" s="571"/>
      <c r="C194" s="571"/>
      <c r="D194" s="571"/>
      <c r="E194" s="571"/>
      <c r="F194" s="571"/>
      <c r="G194" s="571"/>
      <c r="H194" s="571"/>
      <c r="I194" s="571"/>
      <c r="J194" s="571"/>
      <c r="K194" s="571"/>
      <c r="L194" s="571"/>
      <c r="M194" s="571"/>
      <c r="N194" s="571"/>
      <c r="O194" s="572"/>
    </row>
    <row r="195" spans="1:15" ht="15.75" thickBot="1" x14ac:dyDescent="0.3">
      <c r="A195" s="570"/>
      <c r="B195" s="571"/>
      <c r="C195" s="571"/>
      <c r="D195" s="571"/>
      <c r="E195" s="1060" t="s">
        <v>998</v>
      </c>
      <c r="F195" s="1061"/>
      <c r="G195" s="1061"/>
      <c r="H195" s="1061"/>
      <c r="I195" s="1061"/>
      <c r="J195" s="1062"/>
      <c r="K195" s="571"/>
      <c r="L195" s="571"/>
      <c r="M195" s="571"/>
      <c r="N195" s="571"/>
      <c r="O195" s="572"/>
    </row>
    <row r="196" spans="1:15" ht="15.75" thickBot="1" x14ac:dyDescent="0.3">
      <c r="A196" s="570"/>
      <c r="B196" s="571"/>
      <c r="C196" s="571"/>
      <c r="D196" s="571"/>
      <c r="E196" s="571"/>
      <c r="F196" s="571"/>
      <c r="G196" s="571"/>
      <c r="H196" s="571"/>
      <c r="I196" s="571"/>
      <c r="J196" s="571"/>
      <c r="K196" s="571"/>
      <c r="L196" s="571"/>
      <c r="M196" s="571"/>
      <c r="N196" s="571"/>
      <c r="O196" s="572"/>
    </row>
    <row r="197" spans="1:15" x14ac:dyDescent="0.25">
      <c r="A197" s="570"/>
      <c r="B197" s="603" t="s">
        <v>999</v>
      </c>
      <c r="C197" s="592"/>
      <c r="D197" s="592"/>
      <c r="E197" s="592"/>
      <c r="F197" s="592"/>
      <c r="G197" s="592"/>
      <c r="H197" s="592"/>
      <c r="I197" s="592"/>
      <c r="J197" s="592"/>
      <c r="K197" s="592"/>
      <c r="L197" s="593"/>
      <c r="M197" s="571"/>
      <c r="N197" s="571"/>
      <c r="O197" s="572"/>
    </row>
    <row r="198" spans="1:15" x14ac:dyDescent="0.25">
      <c r="A198" s="570"/>
      <c r="B198" s="599" t="s">
        <v>1000</v>
      </c>
      <c r="C198" s="595"/>
      <c r="D198" s="595"/>
      <c r="E198" s="595"/>
      <c r="F198" s="595"/>
      <c r="G198" s="595"/>
      <c r="H198" s="595"/>
      <c r="I198" s="595"/>
      <c r="J198" s="595"/>
      <c r="K198" s="595"/>
      <c r="L198" s="597"/>
      <c r="M198" s="571"/>
      <c r="N198" s="571"/>
      <c r="O198" s="572"/>
    </row>
    <row r="199" spans="1:15" x14ac:dyDescent="0.25">
      <c r="A199" s="570"/>
      <c r="B199" s="599" t="s">
        <v>1001</v>
      </c>
      <c r="C199" s="595"/>
      <c r="D199" s="595"/>
      <c r="E199" s="595"/>
      <c r="F199" s="595"/>
      <c r="G199" s="595"/>
      <c r="H199" s="595"/>
      <c r="I199" s="595"/>
      <c r="J199" s="595"/>
      <c r="K199" s="595"/>
      <c r="L199" s="597"/>
      <c r="M199" s="571"/>
      <c r="N199" s="571"/>
      <c r="O199" s="572"/>
    </row>
    <row r="200" spans="1:15" x14ac:dyDescent="0.25">
      <c r="A200" s="570"/>
      <c r="B200" s="599" t="s">
        <v>1002</v>
      </c>
      <c r="C200" s="595"/>
      <c r="D200" s="595"/>
      <c r="E200" s="595"/>
      <c r="F200" s="595"/>
      <c r="G200" s="1069" t="s">
        <v>1003</v>
      </c>
      <c r="H200" s="1063"/>
      <c r="I200" s="1063"/>
      <c r="J200" s="1063"/>
      <c r="K200" s="1063"/>
      <c r="L200" s="597"/>
      <c r="M200" s="571"/>
      <c r="N200" s="571"/>
      <c r="O200" s="572"/>
    </row>
    <row r="201" spans="1:15" x14ac:dyDescent="0.25">
      <c r="A201" s="570"/>
      <c r="B201" s="599"/>
      <c r="C201" s="595" t="s">
        <v>1004</v>
      </c>
      <c r="D201" s="595"/>
      <c r="E201" s="595"/>
      <c r="F201" s="595"/>
      <c r="G201" s="1063"/>
      <c r="H201" s="1063"/>
      <c r="I201" s="1063"/>
      <c r="J201" s="1063"/>
      <c r="K201" s="1063"/>
      <c r="L201" s="597"/>
      <c r="M201" s="571"/>
      <c r="N201" s="571"/>
      <c r="O201" s="572"/>
    </row>
    <row r="202" spans="1:15" x14ac:dyDescent="0.25">
      <c r="A202" s="570"/>
      <c r="B202" s="599"/>
      <c r="C202" s="595"/>
      <c r="D202" s="595"/>
      <c r="E202" s="595"/>
      <c r="F202" s="595"/>
      <c r="G202" s="595"/>
      <c r="H202" s="595"/>
      <c r="I202" s="595"/>
      <c r="J202" s="595"/>
      <c r="K202" s="595"/>
      <c r="L202" s="597"/>
      <c r="M202" s="571"/>
      <c r="N202" s="571"/>
      <c r="O202" s="572"/>
    </row>
    <row r="203" spans="1:15" x14ac:dyDescent="0.25">
      <c r="A203" s="570"/>
      <c r="B203" s="599" t="s">
        <v>1005</v>
      </c>
      <c r="C203" s="595"/>
      <c r="D203" s="595" t="s">
        <v>1006</v>
      </c>
      <c r="E203" s="595"/>
      <c r="F203" s="604" t="s">
        <v>1007</v>
      </c>
      <c r="G203" s="595"/>
      <c r="H203" s="595"/>
      <c r="I203" s="595"/>
      <c r="J203" s="595"/>
      <c r="K203" s="595"/>
      <c r="L203" s="597"/>
      <c r="M203" s="571"/>
      <c r="N203" s="571"/>
      <c r="O203" s="572"/>
    </row>
    <row r="204" spans="1:15" ht="15.75" thickBot="1" x14ac:dyDescent="0.3">
      <c r="A204" s="570"/>
      <c r="B204" s="599" t="s">
        <v>1008</v>
      </c>
      <c r="C204" s="595"/>
      <c r="D204" s="595" t="s">
        <v>1009</v>
      </c>
      <c r="E204" s="595"/>
      <c r="F204" s="596" t="s">
        <v>1010</v>
      </c>
      <c r="G204" s="595"/>
      <c r="H204" s="595"/>
      <c r="I204" s="595"/>
      <c r="J204" s="595"/>
      <c r="K204" s="595"/>
      <c r="L204" s="597"/>
      <c r="M204" s="571"/>
      <c r="N204" s="571"/>
      <c r="O204" s="572"/>
    </row>
    <row r="205" spans="1:15" x14ac:dyDescent="0.25">
      <c r="A205" s="570"/>
      <c r="B205" s="599" t="s">
        <v>1011</v>
      </c>
      <c r="C205" s="595"/>
      <c r="D205" s="595"/>
      <c r="E205" s="595"/>
      <c r="F205" s="605" t="s">
        <v>1012</v>
      </c>
      <c r="G205" s="595"/>
      <c r="H205" s="595"/>
      <c r="I205" s="595"/>
      <c r="J205" s="595"/>
      <c r="K205" s="595"/>
      <c r="L205" s="597"/>
      <c r="M205" s="571"/>
      <c r="N205" s="571"/>
      <c r="O205" s="572"/>
    </row>
    <row r="206" spans="1:15" x14ac:dyDescent="0.25">
      <c r="A206" s="570"/>
      <c r="B206" s="599"/>
      <c r="C206" s="595"/>
      <c r="D206" s="595"/>
      <c r="E206" s="595"/>
      <c r="F206" s="595"/>
      <c r="G206" s="595"/>
      <c r="H206" s="595"/>
      <c r="I206" s="595"/>
      <c r="J206" s="595"/>
      <c r="K206" s="595"/>
      <c r="L206" s="597"/>
      <c r="M206" s="571"/>
      <c r="N206" s="571"/>
      <c r="O206" s="572"/>
    </row>
    <row r="207" spans="1:15" ht="15.75" thickBot="1" x14ac:dyDescent="0.3">
      <c r="A207" s="570"/>
      <c r="B207" s="599" t="s">
        <v>1013</v>
      </c>
      <c r="C207" s="595"/>
      <c r="D207" s="595"/>
      <c r="E207" s="606" t="s">
        <v>1012</v>
      </c>
      <c r="F207" s="1065" t="s">
        <v>1014</v>
      </c>
      <c r="G207" s="1065"/>
      <c r="H207" s="595"/>
      <c r="I207" s="595"/>
      <c r="J207" s="595"/>
      <c r="K207" s="595"/>
      <c r="L207" s="597"/>
      <c r="M207" s="571"/>
      <c r="N207" s="571"/>
      <c r="O207" s="572"/>
    </row>
    <row r="208" spans="1:15" x14ac:dyDescent="0.25">
      <c r="A208" s="570"/>
      <c r="B208" s="599"/>
      <c r="C208" s="595"/>
      <c r="D208" s="595"/>
      <c r="E208" s="598" t="s">
        <v>323</v>
      </c>
      <c r="F208" s="1065"/>
      <c r="G208" s="1065"/>
      <c r="H208" s="595"/>
      <c r="I208" s="595"/>
      <c r="J208" s="595"/>
      <c r="K208" s="595"/>
      <c r="L208" s="597"/>
      <c r="M208" s="571"/>
      <c r="N208" s="571"/>
      <c r="O208" s="572"/>
    </row>
    <row r="209" spans="1:15" ht="15.75" thickBot="1" x14ac:dyDescent="0.3">
      <c r="A209" s="570"/>
      <c r="B209" s="600"/>
      <c r="C209" s="601"/>
      <c r="D209" s="601"/>
      <c r="E209" s="601"/>
      <c r="F209" s="601"/>
      <c r="G209" s="601"/>
      <c r="H209" s="601"/>
      <c r="I209" s="601"/>
      <c r="J209" s="601"/>
      <c r="K209" s="601"/>
      <c r="L209" s="602"/>
      <c r="M209" s="571"/>
      <c r="N209" s="571"/>
      <c r="O209" s="572"/>
    </row>
    <row r="210" spans="1:15" ht="15.75" thickBot="1" x14ac:dyDescent="0.3">
      <c r="A210" s="570"/>
      <c r="B210" s="571"/>
      <c r="C210" s="571"/>
      <c r="D210" s="571"/>
      <c r="E210" s="571"/>
      <c r="F210" s="571"/>
      <c r="G210" s="571"/>
      <c r="H210" s="571"/>
      <c r="I210" s="571"/>
      <c r="J210" s="571"/>
      <c r="K210" s="571"/>
      <c r="L210" s="571"/>
      <c r="M210" s="571"/>
      <c r="N210" s="571"/>
      <c r="O210" s="572"/>
    </row>
    <row r="211" spans="1:15" ht="20.100000000000001" customHeight="1" thickBot="1" x14ac:dyDescent="0.3">
      <c r="A211" s="570"/>
      <c r="B211" s="1046" t="s">
        <v>1015</v>
      </c>
      <c r="C211" s="1047"/>
      <c r="D211" s="571"/>
      <c r="E211" s="571"/>
      <c r="F211" s="571"/>
      <c r="G211" s="571"/>
      <c r="H211" s="571"/>
      <c r="I211" s="571"/>
      <c r="J211" s="571"/>
      <c r="K211" s="571"/>
      <c r="L211" s="571"/>
      <c r="M211" s="571"/>
      <c r="N211" s="571"/>
      <c r="O211" s="572"/>
    </row>
    <row r="212" spans="1:15" ht="15.75" thickBot="1" x14ac:dyDescent="0.3">
      <c r="A212" s="570"/>
      <c r="B212" s="571"/>
      <c r="C212" s="571"/>
      <c r="D212" s="571"/>
      <c r="E212" s="571"/>
      <c r="F212" s="1070" t="s">
        <v>1016</v>
      </c>
      <c r="G212" s="1071"/>
      <c r="H212" s="1071"/>
      <c r="I212" s="1072"/>
      <c r="J212" s="571"/>
      <c r="K212" s="571"/>
      <c r="L212" s="571"/>
      <c r="M212" s="571"/>
      <c r="N212" s="571"/>
      <c r="O212" s="572"/>
    </row>
    <row r="213" spans="1:15" x14ac:dyDescent="0.25">
      <c r="A213" s="570"/>
      <c r="B213" s="571"/>
      <c r="C213" s="571"/>
      <c r="D213" s="571"/>
      <c r="E213" s="571"/>
      <c r="F213" s="571"/>
      <c r="G213" s="571"/>
      <c r="H213" s="571"/>
      <c r="I213" s="571"/>
      <c r="J213" s="571"/>
      <c r="K213" s="571"/>
      <c r="L213" s="571"/>
      <c r="M213" s="571"/>
      <c r="N213" s="571"/>
      <c r="O213" s="572"/>
    </row>
    <row r="214" spans="1:15" ht="15.75" thickBot="1" x14ac:dyDescent="0.3">
      <c r="A214" s="570"/>
      <c r="B214" s="571"/>
      <c r="C214" s="571"/>
      <c r="D214" s="1073" t="s">
        <v>1017</v>
      </c>
      <c r="E214" s="1073"/>
      <c r="F214" s="1074" t="s">
        <v>1018</v>
      </c>
      <c r="G214" s="1044"/>
      <c r="H214" s="571"/>
      <c r="I214" s="1044"/>
      <c r="J214" s="1044"/>
      <c r="K214" s="580"/>
      <c r="L214" s="1044"/>
      <c r="M214" s="571"/>
      <c r="N214" s="571"/>
      <c r="O214" s="572"/>
    </row>
    <row r="215" spans="1:15" x14ac:dyDescent="0.25">
      <c r="A215" s="570"/>
      <c r="B215" s="571"/>
      <c r="C215" s="571"/>
      <c r="D215" s="1080" t="s">
        <v>1019</v>
      </c>
      <c r="E215" s="1080"/>
      <c r="F215" s="1044"/>
      <c r="G215" s="1044"/>
      <c r="H215" s="571"/>
      <c r="I215" s="1044"/>
      <c r="J215" s="1044"/>
      <c r="K215" s="580"/>
      <c r="L215" s="1044"/>
      <c r="M215" s="571"/>
      <c r="N215" s="571"/>
      <c r="O215" s="572"/>
    </row>
    <row r="216" spans="1:15" ht="15.75" thickBot="1" x14ac:dyDescent="0.3">
      <c r="A216" s="570"/>
      <c r="B216" s="571"/>
      <c r="C216" s="571"/>
      <c r="D216" s="607"/>
      <c r="E216" s="607"/>
      <c r="F216" s="580"/>
      <c r="G216" s="580"/>
      <c r="H216" s="571"/>
      <c r="I216" s="580"/>
      <c r="J216" s="580"/>
      <c r="K216" s="580"/>
      <c r="L216" s="580"/>
      <c r="M216" s="571"/>
      <c r="N216" s="571"/>
      <c r="O216" s="572"/>
    </row>
    <row r="217" spans="1:15" x14ac:dyDescent="0.25">
      <c r="A217" s="570"/>
      <c r="B217" s="608"/>
      <c r="C217" s="609"/>
      <c r="D217" s="609"/>
      <c r="E217" s="609"/>
      <c r="F217" s="609"/>
      <c r="G217" s="609"/>
      <c r="H217" s="609"/>
      <c r="I217" s="609"/>
      <c r="J217" s="609"/>
      <c r="K217" s="609"/>
      <c r="L217" s="610"/>
      <c r="M217" s="571"/>
      <c r="N217" s="571"/>
      <c r="O217" s="572"/>
    </row>
    <row r="218" spans="1:15" ht="18.75" x14ac:dyDescent="0.3">
      <c r="A218" s="570"/>
      <c r="B218" s="611"/>
      <c r="C218" s="1081" t="s">
        <v>1020</v>
      </c>
      <c r="D218" s="612" t="s">
        <v>81</v>
      </c>
      <c r="E218" s="1082" t="s">
        <v>1021</v>
      </c>
      <c r="F218" s="613">
        <v>100</v>
      </c>
      <c r="G218" s="1083" t="s">
        <v>117</v>
      </c>
      <c r="H218" s="614" t="s">
        <v>13</v>
      </c>
      <c r="I218" s="1084" t="s">
        <v>1022</v>
      </c>
      <c r="J218" s="1086" t="s">
        <v>117</v>
      </c>
      <c r="K218" s="1087" t="s">
        <v>1023</v>
      </c>
      <c r="L218" s="615" t="s">
        <v>1024</v>
      </c>
      <c r="M218" s="571"/>
      <c r="N218" s="571"/>
      <c r="O218" s="572"/>
    </row>
    <row r="219" spans="1:15" ht="18.75" x14ac:dyDescent="0.3">
      <c r="A219" s="570"/>
      <c r="B219" s="611"/>
      <c r="C219" s="1081"/>
      <c r="D219" s="616">
        <v>100</v>
      </c>
      <c r="E219" s="1082"/>
      <c r="F219" s="617" t="s">
        <v>1025</v>
      </c>
      <c r="G219" s="1083"/>
      <c r="H219" s="618">
        <v>2</v>
      </c>
      <c r="I219" s="1085"/>
      <c r="J219" s="1086"/>
      <c r="K219" s="1087"/>
      <c r="L219" s="619" t="s">
        <v>1025</v>
      </c>
      <c r="M219" s="571"/>
      <c r="N219" s="571"/>
      <c r="O219" s="572"/>
    </row>
    <row r="220" spans="1:15" ht="15.75" thickBot="1" x14ac:dyDescent="0.3">
      <c r="A220" s="570"/>
      <c r="B220" s="620"/>
      <c r="C220" s="621"/>
      <c r="D220" s="621"/>
      <c r="E220" s="621"/>
      <c r="F220" s="621"/>
      <c r="G220" s="621"/>
      <c r="H220" s="621"/>
      <c r="I220" s="621"/>
      <c r="J220" s="621"/>
      <c r="K220" s="621"/>
      <c r="L220" s="622"/>
      <c r="M220" s="571"/>
      <c r="N220" s="571"/>
      <c r="O220" s="572"/>
    </row>
    <row r="221" spans="1:15" ht="18.75" x14ac:dyDescent="0.3">
      <c r="A221" s="570"/>
      <c r="B221" s="623" t="s">
        <v>1026</v>
      </c>
      <c r="C221" s="571"/>
      <c r="D221" s="571"/>
      <c r="E221" s="571"/>
      <c r="F221" s="571"/>
      <c r="G221" s="571"/>
      <c r="H221" s="571"/>
      <c r="I221" s="571"/>
      <c r="J221" s="571"/>
      <c r="K221" s="571"/>
      <c r="L221" s="571"/>
      <c r="M221" s="571"/>
      <c r="N221" s="571"/>
      <c r="O221" s="572"/>
    </row>
    <row r="222" spans="1:15" ht="18.75" x14ac:dyDescent="0.3">
      <c r="A222" s="570"/>
      <c r="B222" s="623" t="s">
        <v>1027</v>
      </c>
      <c r="C222" s="571"/>
      <c r="D222" s="571"/>
      <c r="E222" s="571"/>
      <c r="F222" s="571"/>
      <c r="G222" s="571"/>
      <c r="H222" s="571"/>
      <c r="I222" s="571"/>
      <c r="J222" s="571"/>
      <c r="K222" s="571"/>
      <c r="L222" s="571"/>
      <c r="M222" s="571"/>
      <c r="N222" s="571"/>
      <c r="O222" s="572"/>
    </row>
    <row r="223" spans="1:15" ht="18.75" x14ac:dyDescent="0.3">
      <c r="A223" s="570"/>
      <c r="B223" s="623" t="s">
        <v>1028</v>
      </c>
      <c r="C223" s="571"/>
      <c r="D223" s="571"/>
      <c r="E223" s="571"/>
      <c r="F223" s="571"/>
      <c r="G223" s="571"/>
      <c r="H223" s="571"/>
      <c r="I223" s="571"/>
      <c r="J223" s="571"/>
      <c r="K223" s="571"/>
      <c r="L223" s="571"/>
      <c r="M223" s="571"/>
      <c r="N223" s="571"/>
      <c r="O223" s="572"/>
    </row>
    <row r="224" spans="1:15" ht="18.75" x14ac:dyDescent="0.3">
      <c r="A224" s="570"/>
      <c r="B224" s="624" t="s">
        <v>1029</v>
      </c>
      <c r="C224" s="571"/>
      <c r="D224" s="571"/>
      <c r="E224" s="571"/>
      <c r="F224" s="571"/>
      <c r="G224" s="571"/>
      <c r="H224" s="571"/>
      <c r="I224" s="571"/>
      <c r="J224" s="571"/>
      <c r="K224" s="571"/>
      <c r="L224" s="571"/>
      <c r="M224" s="571"/>
      <c r="N224" s="571"/>
      <c r="O224" s="572"/>
    </row>
    <row r="225" spans="1:15" ht="18.75" x14ac:dyDescent="0.3">
      <c r="A225" s="570"/>
      <c r="B225" s="623" t="s">
        <v>1030</v>
      </c>
      <c r="C225" s="571"/>
      <c r="D225" s="571"/>
      <c r="E225" s="571"/>
      <c r="F225" s="571"/>
      <c r="G225" s="571"/>
      <c r="H225" s="571"/>
      <c r="I225" s="571"/>
      <c r="J225" s="571"/>
      <c r="K225" s="571"/>
      <c r="L225" s="571"/>
      <c r="M225" s="571"/>
      <c r="N225" s="571"/>
      <c r="O225" s="572"/>
    </row>
    <row r="226" spans="1:15" ht="15.75" thickBot="1" x14ac:dyDescent="0.3">
      <c r="A226" s="570"/>
      <c r="B226" s="571"/>
      <c r="C226" s="571"/>
      <c r="D226" s="571"/>
      <c r="E226" s="571"/>
      <c r="F226" s="571"/>
      <c r="G226" s="571"/>
      <c r="H226" s="571"/>
      <c r="I226" s="571"/>
      <c r="J226" s="571"/>
      <c r="K226" s="571"/>
      <c r="L226" s="571"/>
      <c r="M226" s="571"/>
      <c r="N226" s="571"/>
      <c r="O226" s="572"/>
    </row>
    <row r="227" spans="1:15" ht="16.5" thickBot="1" x14ac:dyDescent="0.3">
      <c r="A227" s="570"/>
      <c r="B227" s="1067" t="s">
        <v>912</v>
      </c>
      <c r="C227" s="1068"/>
      <c r="D227" s="571"/>
      <c r="E227" s="571"/>
      <c r="F227" s="1088" t="s">
        <v>1031</v>
      </c>
      <c r="G227" s="1089"/>
      <c r="H227" s="1089"/>
      <c r="I227" s="1090"/>
      <c r="J227" s="571"/>
      <c r="K227" s="571"/>
      <c r="L227" s="571"/>
      <c r="M227" s="571"/>
      <c r="N227" s="571"/>
      <c r="O227" s="572"/>
    </row>
    <row r="228" spans="1:15" ht="15.75" thickBot="1" x14ac:dyDescent="0.3">
      <c r="A228" s="570"/>
      <c r="B228" s="571"/>
      <c r="C228" s="571"/>
      <c r="D228" s="571"/>
      <c r="E228" s="571"/>
      <c r="F228" s="571"/>
      <c r="G228" s="571"/>
      <c r="H228" s="571"/>
      <c r="I228" s="571"/>
      <c r="J228" s="571"/>
      <c r="K228" s="571"/>
      <c r="L228" s="571"/>
      <c r="M228" s="571"/>
      <c r="N228" s="571"/>
      <c r="O228" s="572"/>
    </row>
    <row r="229" spans="1:15" x14ac:dyDescent="0.25">
      <c r="A229" s="570"/>
      <c r="B229" s="571" t="s">
        <v>1032</v>
      </c>
      <c r="C229" s="571"/>
      <c r="D229" s="571"/>
      <c r="E229" s="571" t="s">
        <v>1033</v>
      </c>
      <c r="F229" s="571"/>
      <c r="G229" s="571"/>
      <c r="H229" s="625" t="s">
        <v>1034</v>
      </c>
      <c r="I229" s="548"/>
      <c r="J229" s="548"/>
      <c r="K229" s="548"/>
      <c r="L229" s="548"/>
      <c r="M229" s="548"/>
      <c r="N229" s="549"/>
      <c r="O229" s="572"/>
    </row>
    <row r="230" spans="1:15" x14ac:dyDescent="0.25">
      <c r="A230" s="570"/>
      <c r="B230" s="571" t="s">
        <v>1035</v>
      </c>
      <c r="C230" s="571"/>
      <c r="D230" s="571"/>
      <c r="E230" s="571" t="s">
        <v>1036</v>
      </c>
      <c r="F230" s="571"/>
      <c r="G230" s="571"/>
      <c r="H230" s="550"/>
      <c r="I230" s="551"/>
      <c r="J230" s="551"/>
      <c r="K230" s="551"/>
      <c r="L230" s="551"/>
      <c r="M230" s="551"/>
      <c r="N230" s="552"/>
      <c r="O230" s="572"/>
    </row>
    <row r="231" spans="1:15" x14ac:dyDescent="0.25">
      <c r="A231" s="570"/>
      <c r="B231" s="571" t="s">
        <v>1037</v>
      </c>
      <c r="C231" s="571"/>
      <c r="D231" s="571"/>
      <c r="E231" s="571" t="s">
        <v>1038</v>
      </c>
      <c r="F231" s="571"/>
      <c r="G231" s="571"/>
      <c r="H231" s="626" t="s">
        <v>1039</v>
      </c>
      <c r="I231" s="551" t="s">
        <v>1040</v>
      </c>
      <c r="J231" s="551" t="s">
        <v>1041</v>
      </c>
      <c r="K231" s="551" t="s">
        <v>1042</v>
      </c>
      <c r="L231" s="551"/>
      <c r="M231" s="551"/>
      <c r="N231" s="552"/>
      <c r="O231" s="572"/>
    </row>
    <row r="232" spans="1:15" x14ac:dyDescent="0.25">
      <c r="A232" s="570"/>
      <c r="B232" s="571" t="s">
        <v>1043</v>
      </c>
      <c r="C232" s="571"/>
      <c r="D232" s="571"/>
      <c r="E232" s="571" t="s">
        <v>1044</v>
      </c>
      <c r="F232" s="571"/>
      <c r="G232" s="571"/>
      <c r="H232" s="627">
        <v>100</v>
      </c>
      <c r="I232" s="551" t="s">
        <v>1045</v>
      </c>
      <c r="J232" s="628">
        <v>7</v>
      </c>
      <c r="K232" s="628">
        <v>7</v>
      </c>
      <c r="L232" s="551"/>
      <c r="M232" s="551"/>
      <c r="N232" s="552"/>
      <c r="O232" s="572"/>
    </row>
    <row r="233" spans="1:15" x14ac:dyDescent="0.25">
      <c r="A233" s="570"/>
      <c r="B233" s="571" t="s">
        <v>1046</v>
      </c>
      <c r="C233" s="571"/>
      <c r="D233" s="571"/>
      <c r="E233" s="571" t="s">
        <v>1038</v>
      </c>
      <c r="F233" s="571"/>
      <c r="G233" s="571"/>
      <c r="H233" s="550"/>
      <c r="I233" s="551"/>
      <c r="J233" s="551"/>
      <c r="K233" s="551"/>
      <c r="L233" s="551"/>
      <c r="M233" s="551"/>
      <c r="N233" s="552"/>
      <c r="O233" s="572"/>
    </row>
    <row r="234" spans="1:15" x14ac:dyDescent="0.25">
      <c r="A234" s="570"/>
      <c r="B234" s="571" t="s">
        <v>1047</v>
      </c>
      <c r="C234" s="571"/>
      <c r="D234" s="571"/>
      <c r="E234" s="571" t="s">
        <v>1048</v>
      </c>
      <c r="F234" s="571"/>
      <c r="G234" s="571"/>
      <c r="H234" s="629" t="s">
        <v>1049</v>
      </c>
      <c r="I234" s="551"/>
      <c r="J234" s="551"/>
      <c r="K234" s="551"/>
      <c r="L234" s="551"/>
      <c r="M234" s="551"/>
      <c r="N234" s="552"/>
      <c r="O234" s="572"/>
    </row>
    <row r="235" spans="1:15" x14ac:dyDescent="0.25">
      <c r="A235" s="570"/>
      <c r="B235" s="571"/>
      <c r="C235" s="571"/>
      <c r="D235" s="571"/>
      <c r="E235" s="571"/>
      <c r="F235" s="571"/>
      <c r="G235" s="571"/>
      <c r="H235" s="550"/>
      <c r="I235" s="551"/>
      <c r="J235" s="551"/>
      <c r="K235" s="551"/>
      <c r="L235" s="551"/>
      <c r="M235" s="551"/>
      <c r="N235" s="552"/>
      <c r="O235" s="572"/>
    </row>
    <row r="236" spans="1:15" x14ac:dyDescent="0.25">
      <c r="A236" s="570"/>
      <c r="B236" s="571"/>
      <c r="C236" s="571"/>
      <c r="D236" s="571"/>
      <c r="E236" s="571"/>
      <c r="F236" s="571"/>
      <c r="G236" s="571"/>
      <c r="H236" s="550" t="s">
        <v>1050</v>
      </c>
      <c r="I236" s="551" t="s">
        <v>1051</v>
      </c>
      <c r="J236" s="551" t="s">
        <v>1052</v>
      </c>
      <c r="K236" s="551"/>
      <c r="L236" s="551" t="s">
        <v>1053</v>
      </c>
      <c r="M236" s="551" t="s">
        <v>1054</v>
      </c>
      <c r="N236" s="552"/>
      <c r="O236" s="572"/>
    </row>
    <row r="237" spans="1:15" x14ac:dyDescent="0.25">
      <c r="A237" s="570"/>
      <c r="B237" s="571"/>
      <c r="C237" s="571"/>
      <c r="D237" s="571"/>
      <c r="E237" s="571"/>
      <c r="F237" s="571"/>
      <c r="G237" s="571"/>
      <c r="H237" s="627">
        <v>100</v>
      </c>
      <c r="I237" s="551" t="s">
        <v>1055</v>
      </c>
      <c r="J237" s="551" t="s">
        <v>1056</v>
      </c>
      <c r="K237" s="551"/>
      <c r="L237" s="628">
        <v>100</v>
      </c>
      <c r="M237" s="630">
        <v>7</v>
      </c>
      <c r="N237" s="552"/>
      <c r="O237" s="572"/>
    </row>
    <row r="238" spans="1:15" x14ac:dyDescent="0.25">
      <c r="A238" s="570"/>
      <c r="B238" s="571"/>
      <c r="C238" s="571"/>
      <c r="D238" s="571"/>
      <c r="E238" s="571"/>
      <c r="F238" s="571"/>
      <c r="G238" s="571"/>
      <c r="H238" s="550"/>
      <c r="I238" s="551"/>
      <c r="J238" s="551"/>
      <c r="K238" s="551"/>
      <c r="L238" s="551"/>
      <c r="M238" s="551"/>
      <c r="N238" s="552"/>
      <c r="O238" s="572"/>
    </row>
    <row r="239" spans="1:15" x14ac:dyDescent="0.25">
      <c r="A239" s="570"/>
      <c r="B239" s="571"/>
      <c r="C239" s="571"/>
      <c r="D239" s="571"/>
      <c r="E239" s="571"/>
      <c r="F239" s="571"/>
      <c r="G239" s="571"/>
      <c r="H239" s="629" t="s">
        <v>1057</v>
      </c>
      <c r="I239" s="551"/>
      <c r="J239" s="551"/>
      <c r="K239" s="551"/>
      <c r="L239" s="551"/>
      <c r="M239" s="551"/>
      <c r="N239" s="552"/>
      <c r="O239" s="572"/>
    </row>
    <row r="240" spans="1:15" x14ac:dyDescent="0.25">
      <c r="A240" s="570"/>
      <c r="B240" s="571"/>
      <c r="C240" s="571"/>
      <c r="D240" s="571"/>
      <c r="E240" s="571"/>
      <c r="F240" s="571"/>
      <c r="G240" s="571"/>
      <c r="H240" s="550"/>
      <c r="I240" s="551"/>
      <c r="J240" s="551"/>
      <c r="K240" s="551"/>
      <c r="L240" s="551"/>
      <c r="M240" s="551"/>
      <c r="N240" s="552"/>
      <c r="O240" s="572"/>
    </row>
    <row r="241" spans="1:15" x14ac:dyDescent="0.25">
      <c r="A241" s="570"/>
      <c r="B241" s="571"/>
      <c r="C241" s="571"/>
      <c r="D241" s="571"/>
      <c r="E241" s="571"/>
      <c r="F241" s="571"/>
      <c r="G241" s="571"/>
      <c r="H241" s="550">
        <v>16928.57</v>
      </c>
      <c r="I241" s="631" t="s">
        <v>1058</v>
      </c>
      <c r="J241" s="551"/>
      <c r="K241" s="551"/>
      <c r="L241" s="551"/>
      <c r="M241" s="551"/>
      <c r="N241" s="552"/>
      <c r="O241" s="572"/>
    </row>
    <row r="242" spans="1:15" ht="15.75" thickBot="1" x14ac:dyDescent="0.3">
      <c r="A242" s="570"/>
      <c r="B242" s="571"/>
      <c r="C242" s="571"/>
      <c r="D242" s="571"/>
      <c r="E242" s="571"/>
      <c r="F242" s="571"/>
      <c r="G242" s="571"/>
      <c r="H242" s="632" t="s">
        <v>456</v>
      </c>
      <c r="I242" s="589"/>
      <c r="J242" s="589"/>
      <c r="K242" s="589"/>
      <c r="L242" s="589"/>
      <c r="M242" s="589"/>
      <c r="N242" s="590"/>
      <c r="O242" s="572"/>
    </row>
    <row r="243" spans="1:15" ht="15.75" thickBot="1" x14ac:dyDescent="0.3">
      <c r="A243" s="570"/>
      <c r="B243" s="571"/>
      <c r="C243" s="571"/>
      <c r="D243" s="571"/>
      <c r="E243" s="571"/>
      <c r="F243" s="571"/>
      <c r="G243" s="571"/>
      <c r="H243" s="633"/>
      <c r="I243" s="571"/>
      <c r="J243" s="571"/>
      <c r="K243" s="571"/>
      <c r="L243" s="571"/>
      <c r="M243" s="571"/>
      <c r="N243" s="571"/>
      <c r="O243" s="572"/>
    </row>
    <row r="244" spans="1:15" ht="15.75" thickTop="1" x14ac:dyDescent="0.25">
      <c r="A244" s="570"/>
      <c r="B244" s="571"/>
      <c r="C244" s="571"/>
      <c r="D244" s="571"/>
      <c r="E244" s="571"/>
      <c r="F244" s="571"/>
      <c r="G244" s="571"/>
      <c r="H244" s="633"/>
      <c r="I244" s="571"/>
      <c r="J244" s="571"/>
      <c r="K244" s="1053" t="s">
        <v>1059</v>
      </c>
      <c r="L244" s="1054"/>
      <c r="M244" s="1054"/>
      <c r="N244" s="1055"/>
      <c r="O244" s="572"/>
    </row>
    <row r="245" spans="1:15" ht="15.75" thickBot="1" x14ac:dyDescent="0.3">
      <c r="A245" s="570"/>
      <c r="B245" s="571"/>
      <c r="C245" s="571"/>
      <c r="D245" s="571"/>
      <c r="E245" s="571"/>
      <c r="F245" s="571"/>
      <c r="G245" s="571"/>
      <c r="H245" s="633"/>
      <c r="I245" s="571"/>
      <c r="J245" s="571"/>
      <c r="K245" s="1056"/>
      <c r="L245" s="1057"/>
      <c r="M245" s="1057"/>
      <c r="N245" s="1058"/>
      <c r="O245" s="572"/>
    </row>
    <row r="246" spans="1:15" ht="15.75" thickTop="1" x14ac:dyDescent="0.25">
      <c r="A246" s="570"/>
      <c r="B246" s="571"/>
      <c r="C246" s="571"/>
      <c r="D246" s="571"/>
      <c r="E246" s="571"/>
      <c r="F246" s="571"/>
      <c r="G246" s="571"/>
      <c r="H246" s="571"/>
      <c r="I246" s="571"/>
      <c r="J246" s="571"/>
      <c r="K246" s="571"/>
      <c r="L246" s="571"/>
      <c r="M246" s="571"/>
      <c r="N246" s="571"/>
      <c r="O246" s="572"/>
    </row>
    <row r="247" spans="1:15" ht="15.75" thickBot="1" x14ac:dyDescent="0.3">
      <c r="A247" s="634"/>
      <c r="B247" s="635"/>
      <c r="C247" s="635"/>
      <c r="D247" s="635"/>
      <c r="E247" s="635"/>
      <c r="F247" s="635"/>
      <c r="G247" s="635"/>
      <c r="H247" s="635"/>
      <c r="I247" s="635"/>
      <c r="J247" s="635"/>
      <c r="K247" s="635"/>
      <c r="L247" s="635"/>
      <c r="M247" s="635"/>
      <c r="N247" s="635"/>
      <c r="O247" s="636"/>
    </row>
    <row r="248" spans="1:15" x14ac:dyDescent="0.25">
      <c r="A248" s="634"/>
      <c r="B248" s="635"/>
      <c r="C248" s="635"/>
      <c r="D248" s="635"/>
      <c r="E248" s="983" t="s">
        <v>1060</v>
      </c>
      <c r="F248" s="984"/>
      <c r="G248" s="984"/>
      <c r="H248" s="984"/>
      <c r="I248" s="984"/>
      <c r="J248" s="984"/>
      <c r="K248" s="985"/>
      <c r="L248" s="635"/>
      <c r="M248" s="635"/>
      <c r="N248" s="635"/>
      <c r="O248" s="989" t="s">
        <v>1061</v>
      </c>
    </row>
    <row r="249" spans="1:15" ht="15.75" thickBot="1" x14ac:dyDescent="0.3">
      <c r="A249" s="634"/>
      <c r="B249" s="635"/>
      <c r="C249" s="635"/>
      <c r="D249" s="635"/>
      <c r="E249" s="986"/>
      <c r="F249" s="987"/>
      <c r="G249" s="987"/>
      <c r="H249" s="987"/>
      <c r="I249" s="987"/>
      <c r="J249" s="987"/>
      <c r="K249" s="988"/>
      <c r="L249" s="635"/>
      <c r="M249" s="635"/>
      <c r="N249" s="635"/>
      <c r="O249" s="990"/>
    </row>
    <row r="250" spans="1:15" ht="20.100000000000001" customHeight="1" thickBot="1" x14ac:dyDescent="0.4">
      <c r="A250" s="634"/>
      <c r="B250" s="635"/>
      <c r="C250" s="635"/>
      <c r="D250" s="635"/>
      <c r="E250" s="1077" t="s">
        <v>1062</v>
      </c>
      <c r="F250" s="1078"/>
      <c r="G250" s="1078"/>
      <c r="H250" s="1078"/>
      <c r="I250" s="1078"/>
      <c r="J250" s="1078"/>
      <c r="K250" s="1079"/>
      <c r="L250" s="635"/>
      <c r="M250" s="635"/>
      <c r="N250" s="635"/>
      <c r="O250" s="636"/>
    </row>
    <row r="251" spans="1:15" x14ac:dyDescent="0.25">
      <c r="A251" s="634"/>
      <c r="B251" s="635"/>
      <c r="C251" s="635"/>
      <c r="D251" s="635"/>
      <c r="E251" s="635"/>
      <c r="F251" s="635"/>
      <c r="G251" s="635"/>
      <c r="H251" s="635"/>
      <c r="I251" s="635"/>
      <c r="J251" s="635"/>
      <c r="K251" s="635"/>
      <c r="L251" s="635"/>
      <c r="M251" s="635"/>
      <c r="N251" s="635"/>
      <c r="O251" s="636"/>
    </row>
    <row r="252" spans="1:15" ht="15.75" thickBot="1" x14ac:dyDescent="0.3">
      <c r="A252" s="634"/>
      <c r="B252" s="635"/>
      <c r="C252" s="635"/>
      <c r="D252" s="635"/>
      <c r="E252" s="635"/>
      <c r="F252" s="635"/>
      <c r="G252" s="635"/>
      <c r="H252" s="635"/>
      <c r="I252" s="635"/>
      <c r="J252" s="635"/>
      <c r="K252" s="635"/>
      <c r="L252" s="635"/>
      <c r="M252" s="635"/>
      <c r="N252" s="635"/>
      <c r="O252" s="636"/>
    </row>
    <row r="253" spans="1:15" ht="16.5" thickBot="1" x14ac:dyDescent="0.3">
      <c r="A253" s="634" t="s">
        <v>199</v>
      </c>
      <c r="B253" s="1046" t="s">
        <v>984</v>
      </c>
      <c r="C253" s="1047"/>
      <c r="D253" s="635"/>
      <c r="E253" s="635"/>
      <c r="F253" s="1060" t="s">
        <v>1063</v>
      </c>
      <c r="G253" s="1061"/>
      <c r="H253" s="1061"/>
      <c r="I253" s="1061"/>
      <c r="J253" s="1062"/>
      <c r="K253" s="635"/>
      <c r="L253" s="635"/>
      <c r="M253" s="635"/>
      <c r="N253" s="635"/>
      <c r="O253" s="636"/>
    </row>
    <row r="254" spans="1:15" x14ac:dyDescent="0.25">
      <c r="A254" s="634"/>
      <c r="B254" s="635"/>
      <c r="C254" s="635"/>
      <c r="D254" s="635"/>
      <c r="E254" s="635"/>
      <c r="F254" s="635"/>
      <c r="G254" s="635"/>
      <c r="H254" s="635"/>
      <c r="I254" s="635"/>
      <c r="J254" s="635"/>
      <c r="K254" s="635"/>
      <c r="L254" s="635"/>
      <c r="M254" s="635"/>
      <c r="N254" s="635"/>
      <c r="O254" s="636"/>
    </row>
    <row r="255" spans="1:15" ht="15.75" x14ac:dyDescent="0.25">
      <c r="A255" s="634"/>
      <c r="B255" s="637" t="s">
        <v>543</v>
      </c>
      <c r="C255" s="635"/>
      <c r="D255" s="635" t="s">
        <v>1064</v>
      </c>
      <c r="E255" s="635"/>
      <c r="F255" s="635"/>
      <c r="G255" s="635"/>
      <c r="H255" s="635"/>
      <c r="I255" s="635"/>
      <c r="J255" s="635"/>
      <c r="K255" s="635"/>
      <c r="L255" s="635"/>
      <c r="M255" s="635"/>
      <c r="N255" s="635"/>
      <c r="O255" s="636"/>
    </row>
    <row r="256" spans="1:15" x14ac:dyDescent="0.25">
      <c r="A256" s="634"/>
      <c r="B256" s="635"/>
      <c r="C256" s="635"/>
      <c r="D256" s="635"/>
      <c r="E256" s="635"/>
      <c r="F256" s="635"/>
      <c r="G256" s="635"/>
      <c r="H256" s="635"/>
      <c r="I256" s="635"/>
      <c r="J256" s="635"/>
      <c r="K256" s="635"/>
      <c r="L256" s="635"/>
      <c r="M256" s="635"/>
      <c r="N256" s="635"/>
      <c r="O256" s="636"/>
    </row>
    <row r="257" spans="1:15" ht="15.75" x14ac:dyDescent="0.25">
      <c r="A257" s="634"/>
      <c r="B257" s="637" t="s">
        <v>1065</v>
      </c>
      <c r="C257" s="635"/>
      <c r="D257" s="635" t="s">
        <v>1066</v>
      </c>
      <c r="E257" s="635"/>
      <c r="F257" s="635"/>
      <c r="G257" s="635"/>
      <c r="H257" s="635"/>
      <c r="I257" s="635"/>
      <c r="J257" s="635"/>
      <c r="K257" s="635"/>
      <c r="L257" s="638" t="s">
        <v>1067</v>
      </c>
      <c r="M257" s="635"/>
      <c r="N257" s="635"/>
      <c r="O257" s="636"/>
    </row>
    <row r="258" spans="1:15" x14ac:dyDescent="0.25">
      <c r="A258" s="634"/>
      <c r="B258" s="635"/>
      <c r="C258" s="635"/>
      <c r="D258" s="635"/>
      <c r="E258" s="635"/>
      <c r="F258" s="635"/>
      <c r="G258" s="635"/>
      <c r="H258" s="635"/>
      <c r="I258" s="635"/>
      <c r="J258" s="635"/>
      <c r="K258" s="635"/>
      <c r="L258" s="635"/>
      <c r="M258" s="635"/>
      <c r="N258" s="635"/>
      <c r="O258" s="636"/>
    </row>
    <row r="259" spans="1:15" ht="15.75" x14ac:dyDescent="0.25">
      <c r="A259" s="634"/>
      <c r="B259" s="637" t="s">
        <v>549</v>
      </c>
      <c r="C259" s="635"/>
      <c r="D259" s="635" t="s">
        <v>1068</v>
      </c>
      <c r="E259" s="635"/>
      <c r="F259" s="635"/>
      <c r="G259" s="635"/>
      <c r="H259" s="635"/>
      <c r="I259" s="635"/>
      <c r="J259" s="635"/>
      <c r="K259" s="635"/>
      <c r="L259" s="635"/>
      <c r="M259" s="635"/>
      <c r="N259" s="635"/>
      <c r="O259" s="636"/>
    </row>
    <row r="260" spans="1:15" ht="15.75" thickBot="1" x14ac:dyDescent="0.3">
      <c r="A260" s="634"/>
      <c r="B260" s="635"/>
      <c r="C260" s="635"/>
      <c r="D260" s="635"/>
      <c r="E260" s="635"/>
      <c r="F260" s="635"/>
      <c r="G260" s="635"/>
      <c r="H260" s="635"/>
      <c r="I260" s="635"/>
      <c r="J260" s="635"/>
      <c r="K260" s="635"/>
      <c r="L260" s="635"/>
      <c r="M260" s="635"/>
      <c r="N260" s="635"/>
      <c r="O260" s="636"/>
    </row>
    <row r="261" spans="1:15" ht="15.75" thickTop="1" x14ac:dyDescent="0.25">
      <c r="A261" s="634"/>
      <c r="B261" s="635"/>
      <c r="C261" s="635"/>
      <c r="D261" s="635"/>
      <c r="E261" s="635"/>
      <c r="F261" s="635"/>
      <c r="G261" s="635"/>
      <c r="H261" s="635"/>
      <c r="I261" s="635"/>
      <c r="J261" s="635"/>
      <c r="K261" s="1053" t="s">
        <v>1069</v>
      </c>
      <c r="L261" s="1054"/>
      <c r="M261" s="1054"/>
      <c r="N261" s="1055"/>
      <c r="O261" s="636"/>
    </row>
    <row r="262" spans="1:15" ht="15.75" thickBot="1" x14ac:dyDescent="0.3">
      <c r="A262" s="634"/>
      <c r="B262" s="635"/>
      <c r="C262" s="635"/>
      <c r="D262" s="635"/>
      <c r="E262" s="635"/>
      <c r="F262" s="635"/>
      <c r="G262" s="635"/>
      <c r="H262" s="635"/>
      <c r="I262" s="635"/>
      <c r="J262" s="635"/>
      <c r="K262" s="1056"/>
      <c r="L262" s="1057"/>
      <c r="M262" s="1057"/>
      <c r="N262" s="1058"/>
      <c r="O262" s="636"/>
    </row>
    <row r="263" spans="1:15" ht="16.5" thickTop="1" thickBot="1" x14ac:dyDescent="0.3">
      <c r="A263" s="634"/>
      <c r="B263" s="635"/>
      <c r="C263" s="635"/>
      <c r="D263" s="635"/>
      <c r="E263" s="635"/>
      <c r="F263" s="635"/>
      <c r="G263" s="635"/>
      <c r="H263" s="635"/>
      <c r="I263" s="635"/>
      <c r="J263" s="635"/>
      <c r="K263" s="635"/>
      <c r="L263" s="635"/>
      <c r="M263" s="635"/>
      <c r="N263" s="635"/>
      <c r="O263" s="636"/>
    </row>
    <row r="264" spans="1:15" ht="15.75" thickBot="1" x14ac:dyDescent="0.3">
      <c r="A264" s="634"/>
      <c r="B264" s="635"/>
      <c r="C264" s="635"/>
      <c r="D264" s="635"/>
      <c r="E264" s="635"/>
      <c r="F264" s="1060" t="s">
        <v>1070</v>
      </c>
      <c r="G264" s="1061"/>
      <c r="H264" s="1061"/>
      <c r="I264" s="1061"/>
      <c r="J264" s="1062"/>
      <c r="K264" s="635"/>
      <c r="L264" s="635"/>
      <c r="M264" s="635"/>
      <c r="N264" s="635"/>
      <c r="O264" s="636"/>
    </row>
    <row r="265" spans="1:15" ht="15.75" thickBot="1" x14ac:dyDescent="0.3">
      <c r="A265" s="634"/>
      <c r="B265" s="635"/>
      <c r="C265" s="635"/>
      <c r="D265" s="635"/>
      <c r="E265" s="635"/>
      <c r="F265" s="635"/>
      <c r="G265" s="635"/>
      <c r="H265" s="635"/>
      <c r="I265" s="635"/>
      <c r="J265" s="635"/>
      <c r="K265" s="635"/>
      <c r="L265" s="635"/>
      <c r="M265" s="635"/>
      <c r="N265" s="635"/>
      <c r="O265" s="636"/>
    </row>
    <row r="266" spans="1:15" ht="16.5" thickTop="1" x14ac:dyDescent="0.25">
      <c r="A266" s="634"/>
      <c r="B266" s="639" t="s">
        <v>1071</v>
      </c>
      <c r="C266" s="635"/>
      <c r="D266" s="635"/>
      <c r="E266" s="635"/>
      <c r="F266" s="635"/>
      <c r="G266" s="635"/>
      <c r="H266" s="635"/>
      <c r="I266" s="635"/>
      <c r="J266" s="635"/>
      <c r="K266" s="1053" t="s">
        <v>1072</v>
      </c>
      <c r="L266" s="1054"/>
      <c r="M266" s="1054"/>
      <c r="N266" s="1055"/>
      <c r="O266" s="636"/>
    </row>
    <row r="267" spans="1:15" ht="15.75" thickBot="1" x14ac:dyDescent="0.3">
      <c r="A267" s="634"/>
      <c r="B267" s="635"/>
      <c r="C267" s="635"/>
      <c r="D267" s="635"/>
      <c r="E267" s="635"/>
      <c r="F267" s="635"/>
      <c r="G267" s="635"/>
      <c r="H267" s="635"/>
      <c r="I267" s="635"/>
      <c r="J267" s="635"/>
      <c r="K267" s="1056"/>
      <c r="L267" s="1057"/>
      <c r="M267" s="1057"/>
      <c r="N267" s="1058"/>
      <c r="O267" s="636"/>
    </row>
    <row r="268" spans="1:15" ht="15.75" thickTop="1" x14ac:dyDescent="0.25">
      <c r="A268" s="634"/>
      <c r="B268" s="635"/>
      <c r="C268" s="635"/>
      <c r="D268" s="635"/>
      <c r="E268" s="635"/>
      <c r="F268" s="635"/>
      <c r="G268" s="635"/>
      <c r="H268" s="635"/>
      <c r="I268" s="635"/>
      <c r="J268" s="635"/>
      <c r="K268" s="635"/>
      <c r="L268" s="635"/>
      <c r="M268" s="635"/>
      <c r="N268" s="635"/>
      <c r="O268" s="636"/>
    </row>
    <row r="269" spans="1:15" ht="15.75" thickBot="1" x14ac:dyDescent="0.3">
      <c r="A269" s="640"/>
      <c r="B269" s="641"/>
      <c r="C269" s="641"/>
      <c r="D269" s="641"/>
      <c r="E269" s="641"/>
      <c r="F269" s="641"/>
      <c r="G269" s="641"/>
      <c r="H269" s="641"/>
      <c r="I269" s="641"/>
      <c r="J269" s="641"/>
      <c r="K269" s="641"/>
      <c r="L269" s="641"/>
      <c r="M269" s="641"/>
      <c r="N269" s="641"/>
      <c r="O269" s="642"/>
    </row>
    <row r="270" spans="1:15" x14ac:dyDescent="0.25">
      <c r="A270" s="640"/>
      <c r="B270" s="641"/>
      <c r="C270" s="641"/>
      <c r="D270" s="641"/>
      <c r="E270" s="983" t="s">
        <v>1073</v>
      </c>
      <c r="F270" s="984"/>
      <c r="G270" s="984"/>
      <c r="H270" s="984"/>
      <c r="I270" s="984"/>
      <c r="J270" s="984"/>
      <c r="K270" s="985"/>
      <c r="L270" s="641"/>
      <c r="M270" s="641"/>
      <c r="N270" s="641"/>
      <c r="O270" s="989" t="s">
        <v>1074</v>
      </c>
    </row>
    <row r="271" spans="1:15" ht="15.75" thickBot="1" x14ac:dyDescent="0.3">
      <c r="A271" s="640"/>
      <c r="B271" s="641"/>
      <c r="C271" s="641"/>
      <c r="D271" s="641"/>
      <c r="E271" s="986"/>
      <c r="F271" s="987"/>
      <c r="G271" s="987"/>
      <c r="H271" s="987"/>
      <c r="I271" s="987"/>
      <c r="J271" s="987"/>
      <c r="K271" s="988"/>
      <c r="L271" s="641"/>
      <c r="M271" s="641"/>
      <c r="N271" s="641"/>
      <c r="O271" s="990"/>
    </row>
    <row r="272" spans="1:15" ht="20.100000000000001" customHeight="1" thickBot="1" x14ac:dyDescent="0.4">
      <c r="A272" s="640"/>
      <c r="B272" s="641"/>
      <c r="C272" s="641"/>
      <c r="D272" s="641"/>
      <c r="E272" s="1077" t="s">
        <v>1075</v>
      </c>
      <c r="F272" s="1078"/>
      <c r="G272" s="1078"/>
      <c r="H272" s="1078"/>
      <c r="I272" s="1078"/>
      <c r="J272" s="1078"/>
      <c r="K272" s="1079"/>
      <c r="L272" s="641"/>
      <c r="M272" s="641"/>
      <c r="N272" s="641"/>
      <c r="O272" s="642"/>
    </row>
    <row r="273" spans="1:15" ht="15.75" thickBot="1" x14ac:dyDescent="0.3">
      <c r="A273" s="640"/>
      <c r="B273" s="641"/>
      <c r="C273" s="641"/>
      <c r="D273" s="641"/>
      <c r="E273" s="641"/>
      <c r="F273" s="641"/>
      <c r="G273" s="641"/>
      <c r="H273" s="641"/>
      <c r="I273" s="641"/>
      <c r="J273" s="641"/>
      <c r="K273" s="641"/>
      <c r="L273" s="641"/>
      <c r="M273" s="641"/>
      <c r="N273" s="641"/>
      <c r="O273" s="642"/>
    </row>
    <row r="274" spans="1:15" ht="16.5" thickBot="1" x14ac:dyDescent="0.3">
      <c r="A274" s="640"/>
      <c r="B274" s="1046" t="s">
        <v>984</v>
      </c>
      <c r="C274" s="1047"/>
      <c r="D274" s="641"/>
      <c r="E274" s="641"/>
      <c r="F274" s="641"/>
      <c r="G274" s="641"/>
      <c r="H274" s="641"/>
      <c r="I274" s="641"/>
      <c r="J274" s="641"/>
      <c r="K274" s="641"/>
      <c r="L274" s="641"/>
      <c r="M274" s="641"/>
      <c r="N274" s="641"/>
      <c r="O274" s="642"/>
    </row>
    <row r="275" spans="1:15" ht="15.75" thickBot="1" x14ac:dyDescent="0.3">
      <c r="A275" s="640"/>
      <c r="B275" s="641"/>
      <c r="C275" s="641"/>
      <c r="D275" s="641"/>
      <c r="E275" s="641"/>
      <c r="F275" s="641"/>
      <c r="G275" s="641"/>
      <c r="H275" s="641"/>
      <c r="I275" s="641"/>
      <c r="J275" s="641"/>
      <c r="K275" s="641"/>
      <c r="L275" s="641"/>
      <c r="M275" s="641"/>
      <c r="N275" s="641"/>
      <c r="O275" s="642"/>
    </row>
    <row r="276" spans="1:15" ht="15.75" thickBot="1" x14ac:dyDescent="0.3">
      <c r="A276" s="640"/>
      <c r="B276" s="1091" t="s">
        <v>1076</v>
      </c>
      <c r="C276" s="1092"/>
      <c r="D276" s="1093"/>
      <c r="E276" s="641"/>
      <c r="F276" s="1091" t="s">
        <v>1077</v>
      </c>
      <c r="G276" s="1092"/>
      <c r="H276" s="1093"/>
      <c r="I276" s="641"/>
      <c r="J276" s="1060" t="s">
        <v>1078</v>
      </c>
      <c r="K276" s="1061"/>
      <c r="L276" s="1062"/>
      <c r="M276" s="641"/>
      <c r="N276" s="641"/>
      <c r="O276" s="642"/>
    </row>
    <row r="277" spans="1:15" ht="15.75" thickBot="1" x14ac:dyDescent="0.3">
      <c r="A277" s="640"/>
      <c r="B277" s="641"/>
      <c r="C277" s="641"/>
      <c r="D277" s="641"/>
      <c r="E277" s="641"/>
      <c r="F277" s="641"/>
      <c r="G277" s="641"/>
      <c r="H277" s="641"/>
      <c r="I277" s="641"/>
      <c r="J277" s="641"/>
      <c r="K277" s="641"/>
      <c r="L277" s="641"/>
      <c r="M277" s="641"/>
      <c r="N277" s="641"/>
      <c r="O277" s="642"/>
    </row>
    <row r="278" spans="1:15" ht="15.75" thickBot="1" x14ac:dyDescent="0.3">
      <c r="A278" s="640"/>
      <c r="B278" s="643"/>
      <c r="C278" s="643"/>
      <c r="D278" s="643"/>
      <c r="E278" s="641"/>
      <c r="F278" s="1091" t="s">
        <v>1079</v>
      </c>
      <c r="G278" s="1092"/>
      <c r="H278" s="1093"/>
      <c r="I278" s="641"/>
      <c r="J278" s="641"/>
      <c r="K278" s="641"/>
      <c r="L278" s="641"/>
      <c r="M278" s="641"/>
      <c r="N278" s="641"/>
      <c r="O278" s="642"/>
    </row>
    <row r="279" spans="1:15" ht="15.75" thickBot="1" x14ac:dyDescent="0.3">
      <c r="A279" s="640"/>
      <c r="B279" s="1060" t="s">
        <v>1080</v>
      </c>
      <c r="C279" s="1061"/>
      <c r="D279" s="1062"/>
      <c r="E279" s="641"/>
      <c r="F279" s="641"/>
      <c r="G279" s="641"/>
      <c r="H279" s="641"/>
      <c r="I279" s="641"/>
      <c r="J279" s="1094" t="s">
        <v>1081</v>
      </c>
      <c r="K279" s="1095"/>
      <c r="L279" s="1096"/>
      <c r="M279" s="641"/>
      <c r="N279" s="641"/>
      <c r="O279" s="642"/>
    </row>
    <row r="280" spans="1:15" ht="15.75" thickBot="1" x14ac:dyDescent="0.3">
      <c r="A280" s="640"/>
      <c r="B280" s="641"/>
      <c r="C280" s="641"/>
      <c r="D280" s="641"/>
      <c r="E280" s="641"/>
      <c r="F280" s="1091" t="s">
        <v>1082</v>
      </c>
      <c r="G280" s="1092"/>
      <c r="H280" s="1093"/>
      <c r="I280" s="641"/>
      <c r="J280" s="641"/>
      <c r="K280" s="641"/>
      <c r="L280" s="641"/>
      <c r="M280" s="641"/>
      <c r="N280" s="641"/>
      <c r="O280" s="642"/>
    </row>
    <row r="281" spans="1:15" ht="15.75" thickBot="1" x14ac:dyDescent="0.3">
      <c r="A281" s="640"/>
      <c r="B281" s="641"/>
      <c r="C281" s="641"/>
      <c r="D281" s="641"/>
      <c r="E281" s="641"/>
      <c r="F281" s="641"/>
      <c r="G281" s="641"/>
      <c r="H281" s="641"/>
      <c r="I281" s="641"/>
      <c r="J281" s="641"/>
      <c r="K281" s="641"/>
      <c r="L281" s="641"/>
      <c r="M281" s="641"/>
      <c r="N281" s="641"/>
      <c r="O281" s="642"/>
    </row>
    <row r="282" spans="1:15" ht="15.75" thickBot="1" x14ac:dyDescent="0.3">
      <c r="A282" s="640"/>
      <c r="B282" s="1094" t="s">
        <v>860</v>
      </c>
      <c r="C282" s="1095"/>
      <c r="D282" s="1096"/>
      <c r="E282" s="641"/>
      <c r="F282" s="1097" t="s">
        <v>1083</v>
      </c>
      <c r="G282" s="1098"/>
      <c r="H282" s="1099"/>
      <c r="I282" s="641"/>
      <c r="J282" s="1100" t="s">
        <v>1084</v>
      </c>
      <c r="K282" s="1101"/>
      <c r="L282" s="1102"/>
      <c r="M282" s="641"/>
      <c r="N282" s="641"/>
      <c r="O282" s="642"/>
    </row>
    <row r="283" spans="1:15" ht="15.75" thickBot="1" x14ac:dyDescent="0.3">
      <c r="A283" s="640"/>
      <c r="B283" s="641"/>
      <c r="C283" s="641"/>
      <c r="D283" s="641"/>
      <c r="E283" s="641"/>
      <c r="F283" s="641"/>
      <c r="G283" s="641"/>
      <c r="H283" s="641"/>
      <c r="I283" s="641"/>
      <c r="J283" s="641"/>
      <c r="K283" s="641"/>
      <c r="L283" s="641"/>
      <c r="M283" s="641"/>
      <c r="N283" s="641"/>
      <c r="O283" s="642"/>
    </row>
    <row r="284" spans="1:15" ht="15.75" thickBot="1" x14ac:dyDescent="0.3">
      <c r="A284" s="640"/>
      <c r="B284" s="1100" t="s">
        <v>1084</v>
      </c>
      <c r="C284" s="1101"/>
      <c r="D284" s="1102"/>
      <c r="E284" s="641"/>
      <c r="F284" s="1091" t="s">
        <v>1085</v>
      </c>
      <c r="G284" s="1092"/>
      <c r="H284" s="1093"/>
      <c r="I284" s="641"/>
      <c r="J284" s="1091" t="s">
        <v>1086</v>
      </c>
      <c r="K284" s="1092"/>
      <c r="L284" s="1093"/>
      <c r="M284" s="641"/>
      <c r="N284" s="641"/>
      <c r="O284" s="642"/>
    </row>
    <row r="285" spans="1:15" x14ac:dyDescent="0.25">
      <c r="A285" s="640"/>
      <c r="B285" s="641"/>
      <c r="C285" s="641"/>
      <c r="D285" s="641"/>
      <c r="E285" s="641"/>
      <c r="F285" s="641"/>
      <c r="G285" s="641"/>
      <c r="H285" s="641"/>
      <c r="I285" s="641"/>
      <c r="J285" s="641"/>
      <c r="K285" s="641"/>
      <c r="L285" s="641"/>
      <c r="M285" s="641"/>
      <c r="N285" s="641"/>
      <c r="O285" s="642"/>
    </row>
    <row r="286" spans="1:15" ht="15.75" thickBot="1" x14ac:dyDescent="0.3">
      <c r="A286" s="640"/>
      <c r="B286" s="641"/>
      <c r="C286" s="641"/>
      <c r="D286" s="641"/>
      <c r="E286" s="641"/>
      <c r="F286" s="641"/>
      <c r="G286" s="641"/>
      <c r="H286" s="641"/>
      <c r="I286" s="641"/>
      <c r="J286" s="641"/>
      <c r="K286" s="641"/>
      <c r="L286" s="641"/>
      <c r="M286" s="641"/>
      <c r="N286" s="641"/>
      <c r="O286" s="642"/>
    </row>
    <row r="287" spans="1:15" ht="15" customHeight="1" x14ac:dyDescent="0.25">
      <c r="A287" s="640"/>
      <c r="B287" s="641"/>
      <c r="C287" s="1110" t="s">
        <v>1087</v>
      </c>
      <c r="D287" s="1111"/>
      <c r="E287" s="1112"/>
      <c r="F287" s="641"/>
      <c r="G287" s="1116" t="s">
        <v>1084</v>
      </c>
      <c r="H287" s="1117"/>
      <c r="I287" s="1118"/>
      <c r="J287" s="641"/>
      <c r="K287" s="1119" t="s">
        <v>1088</v>
      </c>
      <c r="L287" s="1120"/>
      <c r="M287" s="641"/>
      <c r="N287" s="641"/>
      <c r="O287" s="642"/>
    </row>
    <row r="288" spans="1:15" ht="15.75" thickBot="1" x14ac:dyDescent="0.3">
      <c r="A288" s="640"/>
      <c r="B288" s="641"/>
      <c r="C288" s="1113"/>
      <c r="D288" s="1114"/>
      <c r="E288" s="1115"/>
      <c r="F288" s="641"/>
      <c r="G288" s="1123" t="s">
        <v>1076</v>
      </c>
      <c r="H288" s="1124"/>
      <c r="I288" s="1125"/>
      <c r="J288" s="641"/>
      <c r="K288" s="1121"/>
      <c r="L288" s="1122"/>
      <c r="M288" s="641"/>
      <c r="N288" s="641"/>
      <c r="O288" s="642"/>
    </row>
    <row r="289" spans="1:15" x14ac:dyDescent="0.25">
      <c r="A289" s="640"/>
      <c r="B289" s="641"/>
      <c r="C289" s="641"/>
      <c r="D289" s="641"/>
      <c r="E289" s="641"/>
      <c r="F289" s="641"/>
      <c r="G289" s="641"/>
      <c r="H289" s="641"/>
      <c r="I289" s="641"/>
      <c r="J289" s="641"/>
      <c r="K289" s="641"/>
      <c r="L289" s="641"/>
      <c r="M289" s="641"/>
      <c r="N289" s="641"/>
      <c r="O289" s="642"/>
    </row>
    <row r="290" spans="1:15" ht="15.75" thickBot="1" x14ac:dyDescent="0.3">
      <c r="A290" s="640"/>
      <c r="B290" s="641"/>
      <c r="C290" s="641"/>
      <c r="D290" s="641"/>
      <c r="E290" s="641"/>
      <c r="F290" s="641"/>
      <c r="G290" s="641"/>
      <c r="H290" s="641"/>
      <c r="I290" s="641"/>
      <c r="J290" s="641"/>
      <c r="K290" s="641"/>
      <c r="L290" s="641"/>
      <c r="M290" s="641"/>
      <c r="N290" s="641"/>
      <c r="O290" s="642"/>
    </row>
    <row r="291" spans="1:15" ht="15.75" thickTop="1" x14ac:dyDescent="0.25">
      <c r="A291" s="640"/>
      <c r="B291" s="1103" t="s">
        <v>1089</v>
      </c>
      <c r="C291" s="1104"/>
      <c r="D291" s="1105"/>
      <c r="E291" s="641"/>
      <c r="F291" s="641"/>
      <c r="G291" s="641"/>
      <c r="H291" s="641"/>
      <c r="I291" s="641"/>
      <c r="J291" s="641"/>
      <c r="K291" s="641"/>
      <c r="L291" s="641"/>
      <c r="M291" s="641"/>
      <c r="N291" s="641"/>
      <c r="O291" s="642"/>
    </row>
    <row r="292" spans="1:15" ht="15.75" thickBot="1" x14ac:dyDescent="0.3">
      <c r="A292" s="640"/>
      <c r="B292" s="1106"/>
      <c r="C292" s="1107"/>
      <c r="D292" s="1108"/>
      <c r="E292" s="641"/>
      <c r="F292" s="641"/>
      <c r="G292" s="641"/>
      <c r="H292" s="641"/>
      <c r="I292" s="641"/>
      <c r="J292" s="641"/>
      <c r="K292" s="641"/>
      <c r="L292" s="641"/>
      <c r="M292" s="641"/>
      <c r="N292" s="641"/>
      <c r="O292" s="642"/>
    </row>
    <row r="293" spans="1:15" ht="15.75" thickTop="1" x14ac:dyDescent="0.25">
      <c r="A293" s="640"/>
      <c r="B293" s="641"/>
      <c r="C293" s="641"/>
      <c r="D293" s="641"/>
      <c r="E293" s="641"/>
      <c r="F293" s="641"/>
      <c r="G293" s="641"/>
      <c r="H293" s="641"/>
      <c r="I293" s="641"/>
      <c r="J293" s="641"/>
      <c r="K293" s="641"/>
      <c r="L293" s="641"/>
      <c r="M293" s="641"/>
      <c r="N293" s="641"/>
      <c r="O293" s="642"/>
    </row>
    <row r="294" spans="1:15" ht="15.75" x14ac:dyDescent="0.25">
      <c r="A294" s="640"/>
      <c r="B294" s="644" t="s">
        <v>1090</v>
      </c>
      <c r="C294" s="641"/>
      <c r="D294" s="641"/>
      <c r="E294" s="641"/>
      <c r="F294" s="641"/>
      <c r="G294" s="641"/>
      <c r="H294" s="641"/>
      <c r="I294" s="641"/>
      <c r="J294" s="641"/>
      <c r="K294" s="641"/>
      <c r="L294" s="641"/>
      <c r="M294" s="641"/>
      <c r="N294" s="641"/>
      <c r="O294" s="642"/>
    </row>
    <row r="295" spans="1:15" x14ac:dyDescent="0.25">
      <c r="A295" s="640"/>
      <c r="B295" s="641"/>
      <c r="C295" s="641"/>
      <c r="D295" s="641"/>
      <c r="E295" s="641"/>
      <c r="F295" s="641"/>
      <c r="G295" s="641"/>
      <c r="H295" s="641"/>
      <c r="I295" s="641"/>
      <c r="J295" s="641"/>
      <c r="K295" s="641"/>
      <c r="L295" s="641"/>
      <c r="M295" s="641"/>
      <c r="N295" s="641"/>
      <c r="O295" s="642"/>
    </row>
    <row r="296" spans="1:15" x14ac:dyDescent="0.25">
      <c r="A296" s="640"/>
      <c r="B296" s="641"/>
      <c r="C296" s="641"/>
      <c r="D296" s="641"/>
      <c r="E296" s="641"/>
      <c r="F296" s="641"/>
      <c r="G296" s="641"/>
      <c r="H296" s="641"/>
      <c r="I296" s="641"/>
      <c r="J296" s="641"/>
      <c r="K296" s="641"/>
      <c r="L296" s="641"/>
      <c r="M296" s="641"/>
      <c r="N296" s="641"/>
      <c r="O296" s="642"/>
    </row>
    <row r="297" spans="1:15" x14ac:dyDescent="0.25">
      <c r="A297" s="640"/>
      <c r="B297" s="641"/>
      <c r="C297" s="641"/>
      <c r="D297" s="641"/>
      <c r="E297" s="641"/>
      <c r="F297" s="641"/>
      <c r="G297" s="645">
        <v>100</v>
      </c>
      <c r="H297" s="641"/>
      <c r="I297" s="641"/>
      <c r="J297" s="641"/>
      <c r="K297" s="641"/>
      <c r="L297" s="641"/>
      <c r="M297" s="641"/>
      <c r="N297" s="641"/>
      <c r="O297" s="642"/>
    </row>
    <row r="298" spans="1:15" ht="15.75" x14ac:dyDescent="0.25">
      <c r="A298" s="640"/>
      <c r="B298" s="641"/>
      <c r="C298" s="641"/>
      <c r="D298" s="641"/>
      <c r="E298" s="646" t="s">
        <v>1091</v>
      </c>
      <c r="F298" s="645" t="s">
        <v>1092</v>
      </c>
      <c r="G298" s="641"/>
      <c r="H298" s="641"/>
      <c r="I298" s="641"/>
      <c r="J298" s="645" t="s">
        <v>1093</v>
      </c>
      <c r="K298" s="641"/>
      <c r="L298" s="647" t="s">
        <v>1094</v>
      </c>
      <c r="M298" s="641"/>
      <c r="N298" s="641"/>
      <c r="O298" s="642"/>
    </row>
    <row r="299" spans="1:15" x14ac:dyDescent="0.25">
      <c r="A299" s="640"/>
      <c r="B299" s="641"/>
      <c r="C299" s="641"/>
      <c r="D299" s="641"/>
      <c r="E299" s="641"/>
      <c r="F299" s="641"/>
      <c r="G299" s="641"/>
      <c r="H299" s="641"/>
      <c r="I299" s="641"/>
      <c r="J299" s="641"/>
      <c r="K299" s="641"/>
      <c r="L299" s="641"/>
      <c r="M299" s="641"/>
      <c r="N299" s="641"/>
      <c r="O299" s="642"/>
    </row>
    <row r="300" spans="1:15" x14ac:dyDescent="0.25">
      <c r="A300" s="640"/>
      <c r="B300" s="641"/>
      <c r="C300" s="641"/>
      <c r="D300" s="641"/>
      <c r="E300" s="641"/>
      <c r="F300" s="641"/>
      <c r="G300" s="641"/>
      <c r="H300" s="641"/>
      <c r="I300" s="641"/>
      <c r="J300" s="641"/>
      <c r="K300" s="641"/>
      <c r="L300" s="641"/>
      <c r="M300" s="641"/>
      <c r="N300" s="641"/>
      <c r="O300" s="642"/>
    </row>
    <row r="301" spans="1:15" ht="15.75" x14ac:dyDescent="0.25">
      <c r="A301" s="640"/>
      <c r="B301" s="644" t="s">
        <v>1095</v>
      </c>
      <c r="C301" s="641"/>
      <c r="D301" s="641"/>
      <c r="E301" s="641"/>
      <c r="F301" s="641"/>
      <c r="G301" s="641"/>
      <c r="H301" s="641"/>
      <c r="I301" s="641"/>
      <c r="J301" s="641"/>
      <c r="K301" s="641"/>
      <c r="L301" s="641"/>
      <c r="M301" s="641"/>
      <c r="N301" s="641"/>
      <c r="O301" s="642"/>
    </row>
    <row r="302" spans="1:15" x14ac:dyDescent="0.25">
      <c r="A302" s="640"/>
      <c r="B302" s="641"/>
      <c r="C302" s="641"/>
      <c r="D302" s="641"/>
      <c r="E302" s="641"/>
      <c r="F302" s="641"/>
      <c r="G302" s="641"/>
      <c r="H302" s="641"/>
      <c r="I302" s="641"/>
      <c r="J302" s="641"/>
      <c r="K302" s="641"/>
      <c r="L302" s="641"/>
      <c r="M302" s="641"/>
      <c r="N302" s="641"/>
      <c r="O302" s="642"/>
    </row>
    <row r="303" spans="1:15" x14ac:dyDescent="0.25">
      <c r="A303" s="640"/>
      <c r="B303" s="641"/>
      <c r="C303" s="641"/>
      <c r="D303" s="641"/>
      <c r="E303" s="641"/>
      <c r="F303" s="641"/>
      <c r="G303" s="641"/>
      <c r="H303" s="641"/>
      <c r="I303" s="641"/>
      <c r="J303" s="641"/>
      <c r="K303" s="641"/>
      <c r="L303" s="641"/>
      <c r="M303" s="641"/>
      <c r="N303" s="641"/>
      <c r="O303" s="642"/>
    </row>
    <row r="304" spans="1:15" ht="15.75" x14ac:dyDescent="0.25">
      <c r="A304" s="640"/>
      <c r="B304" s="641"/>
      <c r="C304" s="641"/>
      <c r="D304" s="641"/>
      <c r="E304" s="641"/>
      <c r="F304" s="1109" t="s">
        <v>1096</v>
      </c>
      <c r="G304" s="1109"/>
      <c r="H304" s="1109"/>
      <c r="I304" s="641"/>
      <c r="J304" s="645" t="s">
        <v>1097</v>
      </c>
      <c r="K304" s="641"/>
      <c r="L304" s="647" t="s">
        <v>1098</v>
      </c>
      <c r="M304" s="641"/>
      <c r="N304" s="641"/>
      <c r="O304" s="642"/>
    </row>
    <row r="305" spans="1:15" x14ac:dyDescent="0.25">
      <c r="A305" s="640"/>
      <c r="B305" s="641"/>
      <c r="C305" s="641"/>
      <c r="D305" s="641"/>
      <c r="E305" s="641"/>
      <c r="F305" s="641"/>
      <c r="G305" s="641"/>
      <c r="H305" s="641"/>
      <c r="I305" s="641"/>
      <c r="J305" s="641"/>
      <c r="K305" s="641"/>
      <c r="L305" s="641"/>
      <c r="M305" s="641"/>
      <c r="N305" s="641"/>
      <c r="O305" s="642"/>
    </row>
    <row r="306" spans="1:15" x14ac:dyDescent="0.25">
      <c r="A306" s="640"/>
      <c r="B306" s="641"/>
      <c r="C306" s="641"/>
      <c r="D306" s="641"/>
      <c r="E306" s="641"/>
      <c r="F306" s="641"/>
      <c r="G306" s="641"/>
      <c r="H306" s="641"/>
      <c r="I306" s="641"/>
      <c r="J306" s="641"/>
      <c r="K306" s="641"/>
      <c r="L306" s="641"/>
      <c r="M306" s="641"/>
      <c r="N306" s="641"/>
      <c r="O306" s="642"/>
    </row>
    <row r="307" spans="1:15" ht="15.75" x14ac:dyDescent="0.25">
      <c r="A307" s="640"/>
      <c r="B307" s="644" t="s">
        <v>1099</v>
      </c>
      <c r="C307" s="641"/>
      <c r="D307" s="641"/>
      <c r="E307" s="641"/>
      <c r="F307" s="641"/>
      <c r="G307" s="641"/>
      <c r="H307" s="641"/>
      <c r="I307" s="641"/>
      <c r="J307" s="641"/>
      <c r="K307" s="641"/>
      <c r="L307" s="641"/>
      <c r="M307" s="641"/>
      <c r="N307" s="641"/>
      <c r="O307" s="642"/>
    </row>
    <row r="308" spans="1:15" x14ac:dyDescent="0.25">
      <c r="A308" s="640"/>
      <c r="B308" s="641"/>
      <c r="C308" s="641"/>
      <c r="D308" s="641"/>
      <c r="E308" s="641"/>
      <c r="F308" s="641"/>
      <c r="G308" s="641"/>
      <c r="H308" s="641"/>
      <c r="I308" s="641"/>
      <c r="J308" s="641"/>
      <c r="K308" s="641"/>
      <c r="L308" s="641"/>
      <c r="M308" s="641"/>
      <c r="N308" s="641"/>
      <c r="O308" s="642"/>
    </row>
    <row r="309" spans="1:15" x14ac:dyDescent="0.25">
      <c r="A309" s="640"/>
      <c r="B309" s="641"/>
      <c r="C309" s="641"/>
      <c r="D309" s="641"/>
      <c r="E309" s="641"/>
      <c r="F309" s="645">
        <v>100</v>
      </c>
      <c r="G309" s="641"/>
      <c r="H309" s="641"/>
      <c r="I309" s="641"/>
      <c r="J309" s="641"/>
      <c r="K309" s="641"/>
      <c r="L309" s="641"/>
      <c r="M309" s="641"/>
      <c r="N309" s="641"/>
      <c r="O309" s="642"/>
    </row>
    <row r="310" spans="1:15" ht="15.75" x14ac:dyDescent="0.25">
      <c r="A310" s="640"/>
      <c r="B310" s="641"/>
      <c r="C310" s="641"/>
      <c r="D310" s="641"/>
      <c r="E310" s="641"/>
      <c r="F310" s="645" t="s">
        <v>1100</v>
      </c>
      <c r="G310" s="641"/>
      <c r="H310" s="645" t="s">
        <v>1101</v>
      </c>
      <c r="I310" s="647" t="s">
        <v>1102</v>
      </c>
      <c r="J310" s="641"/>
      <c r="K310" s="641"/>
      <c r="L310" s="641"/>
      <c r="M310" s="641"/>
      <c r="N310" s="641"/>
      <c r="O310" s="642"/>
    </row>
    <row r="311" spans="1:15" ht="15.75" thickBot="1" x14ac:dyDescent="0.3">
      <c r="A311" s="640"/>
      <c r="B311" s="641"/>
      <c r="C311" s="641"/>
      <c r="D311" s="641"/>
      <c r="E311" s="641"/>
      <c r="F311" s="641"/>
      <c r="G311" s="641"/>
      <c r="H311" s="641"/>
      <c r="I311" s="641"/>
      <c r="J311" s="641"/>
      <c r="K311" s="641"/>
      <c r="L311" s="641"/>
      <c r="M311" s="641"/>
      <c r="N311" s="641"/>
      <c r="O311" s="642"/>
    </row>
    <row r="312" spans="1:15" ht="15.75" thickTop="1" x14ac:dyDescent="0.25">
      <c r="A312" s="640"/>
      <c r="B312" s="641"/>
      <c r="C312" s="641"/>
      <c r="D312" s="641"/>
      <c r="E312" s="641"/>
      <c r="F312" s="641"/>
      <c r="G312" s="641"/>
      <c r="H312" s="641"/>
      <c r="I312" s="641"/>
      <c r="J312" s="641"/>
      <c r="K312" s="1053" t="s">
        <v>1103</v>
      </c>
      <c r="L312" s="1054"/>
      <c r="M312" s="1054"/>
      <c r="N312" s="1055"/>
      <c r="O312" s="642"/>
    </row>
    <row r="313" spans="1:15" ht="15.75" thickBot="1" x14ac:dyDescent="0.3">
      <c r="A313" s="640"/>
      <c r="B313" s="641"/>
      <c r="C313" s="641"/>
      <c r="D313" s="641"/>
      <c r="E313" s="641"/>
      <c r="F313" s="641"/>
      <c r="G313" s="641"/>
      <c r="H313" s="641"/>
      <c r="I313" s="641"/>
      <c r="J313" s="641"/>
      <c r="K313" s="1056"/>
      <c r="L313" s="1057"/>
      <c r="M313" s="1057"/>
      <c r="N313" s="1058"/>
      <c r="O313" s="642"/>
    </row>
    <row r="314" spans="1:15" ht="15.75" thickTop="1" x14ac:dyDescent="0.25">
      <c r="A314" s="640"/>
      <c r="B314" s="641"/>
      <c r="C314" s="641"/>
      <c r="D314" s="641"/>
      <c r="E314" s="641"/>
      <c r="F314" s="641"/>
      <c r="G314" s="641"/>
      <c r="H314" s="641"/>
      <c r="I314" s="641"/>
      <c r="J314" s="641"/>
      <c r="K314" s="641"/>
      <c r="L314" s="641"/>
      <c r="M314" s="641"/>
      <c r="N314" s="641"/>
      <c r="O314" s="642"/>
    </row>
    <row r="315" spans="1:15" ht="15.75" thickBot="1" x14ac:dyDescent="0.3">
      <c r="A315" s="570"/>
      <c r="B315" s="571"/>
      <c r="C315" s="571"/>
      <c r="D315" s="571"/>
      <c r="E315" s="571"/>
      <c r="F315" s="571"/>
      <c r="G315" s="571"/>
      <c r="H315" s="571"/>
      <c r="I315" s="571"/>
      <c r="J315" s="571"/>
      <c r="K315" s="571"/>
      <c r="L315" s="571"/>
      <c r="M315" s="571"/>
      <c r="N315" s="571"/>
      <c r="O315" s="572"/>
    </row>
    <row r="316" spans="1:15" x14ac:dyDescent="0.25">
      <c r="A316" s="570"/>
      <c r="B316" s="571"/>
      <c r="C316" s="571"/>
      <c r="D316" s="571"/>
      <c r="E316" s="983" t="s">
        <v>1104</v>
      </c>
      <c r="F316" s="984"/>
      <c r="G316" s="984"/>
      <c r="H316" s="984"/>
      <c r="I316" s="984"/>
      <c r="J316" s="984"/>
      <c r="K316" s="985"/>
      <c r="L316" s="571"/>
      <c r="M316" s="571"/>
      <c r="N316" s="571"/>
      <c r="O316" s="572"/>
    </row>
    <row r="317" spans="1:15" ht="15.75" thickBot="1" x14ac:dyDescent="0.3">
      <c r="A317" s="570"/>
      <c r="B317" s="571"/>
      <c r="C317" s="571"/>
      <c r="D317" s="571"/>
      <c r="E317" s="986"/>
      <c r="F317" s="987"/>
      <c r="G317" s="987"/>
      <c r="H317" s="987"/>
      <c r="I317" s="987"/>
      <c r="J317" s="987"/>
      <c r="K317" s="988"/>
      <c r="L317" s="571"/>
      <c r="M317" s="571"/>
      <c r="N317" s="571"/>
      <c r="O317" s="572"/>
    </row>
    <row r="318" spans="1:15" ht="20.100000000000001" customHeight="1" thickBot="1" x14ac:dyDescent="0.3">
      <c r="A318" s="570"/>
      <c r="B318" s="571"/>
      <c r="C318" s="571"/>
      <c r="D318" s="571"/>
      <c r="E318" s="991" t="s">
        <v>1105</v>
      </c>
      <c r="F318" s="992"/>
      <c r="G318" s="992"/>
      <c r="H318" s="992"/>
      <c r="I318" s="992"/>
      <c r="J318" s="992"/>
      <c r="K318" s="993"/>
      <c r="L318" s="571"/>
      <c r="M318" s="571"/>
      <c r="N318" s="571"/>
      <c r="O318" s="572"/>
    </row>
    <row r="319" spans="1:15" ht="15.75" thickBot="1" x14ac:dyDescent="0.3">
      <c r="A319" s="570"/>
      <c r="B319" s="571"/>
      <c r="C319" s="571"/>
      <c r="D319" s="571"/>
      <c r="E319" s="571"/>
      <c r="F319" s="571"/>
      <c r="G319" s="571"/>
      <c r="H319" s="571"/>
      <c r="I319" s="571"/>
      <c r="J319" s="571"/>
      <c r="K319" s="571"/>
      <c r="L319" s="571"/>
      <c r="M319" s="571"/>
      <c r="N319" s="571"/>
      <c r="O319" s="572"/>
    </row>
    <row r="320" spans="1:15" ht="15.75" thickTop="1" x14ac:dyDescent="0.25">
      <c r="A320" s="570"/>
      <c r="B320" s="571"/>
      <c r="C320" s="571"/>
      <c r="D320" s="571"/>
      <c r="E320" s="571"/>
      <c r="F320" s="571"/>
      <c r="G320" s="571"/>
      <c r="H320" s="571"/>
      <c r="I320" s="571"/>
      <c r="J320" s="571"/>
      <c r="K320" s="1053" t="s">
        <v>1106</v>
      </c>
      <c r="L320" s="1054"/>
      <c r="M320" s="1054"/>
      <c r="N320" s="1055"/>
      <c r="O320" s="572"/>
    </row>
    <row r="321" spans="1:15" ht="15.75" thickBot="1" x14ac:dyDescent="0.3">
      <c r="A321" s="570"/>
      <c r="B321" s="571"/>
      <c r="C321" s="571"/>
      <c r="D321" s="571"/>
      <c r="E321" s="571"/>
      <c r="F321" s="571"/>
      <c r="G321" s="571"/>
      <c r="H321" s="571"/>
      <c r="I321" s="571"/>
      <c r="J321" s="571"/>
      <c r="K321" s="1056"/>
      <c r="L321" s="1057"/>
      <c r="M321" s="1057"/>
      <c r="N321" s="1058"/>
      <c r="O321" s="572"/>
    </row>
    <row r="322" spans="1:15" ht="15.75" thickTop="1" x14ac:dyDescent="0.25">
      <c r="A322" s="570"/>
      <c r="B322" s="571"/>
      <c r="C322" s="571"/>
      <c r="D322" s="571"/>
      <c r="E322" s="571"/>
      <c r="F322" s="571"/>
      <c r="G322" s="571"/>
      <c r="H322" s="571"/>
      <c r="I322" s="571"/>
      <c r="J322" s="571"/>
      <c r="K322" s="571"/>
      <c r="L322" s="571"/>
      <c r="M322" s="571"/>
      <c r="N322" s="571"/>
      <c r="O322" s="572"/>
    </row>
    <row r="323" spans="1:15" x14ac:dyDescent="0.25">
      <c r="A323" s="648"/>
      <c r="O323" s="649"/>
    </row>
  </sheetData>
  <mergeCells count="170">
    <mergeCell ref="B291:D292"/>
    <mergeCell ref="F304:H304"/>
    <mergeCell ref="K312:N313"/>
    <mergeCell ref="E316:K317"/>
    <mergeCell ref="E318:K318"/>
    <mergeCell ref="K320:N321"/>
    <mergeCell ref="B284:D284"/>
    <mergeCell ref="F284:H284"/>
    <mergeCell ref="J284:L284"/>
    <mergeCell ref="C287:E288"/>
    <mergeCell ref="G287:I287"/>
    <mergeCell ref="K287:L288"/>
    <mergeCell ref="G288:I288"/>
    <mergeCell ref="F278:H278"/>
    <mergeCell ref="B279:D279"/>
    <mergeCell ref="J279:L279"/>
    <mergeCell ref="F280:H280"/>
    <mergeCell ref="B282:D282"/>
    <mergeCell ref="F282:H282"/>
    <mergeCell ref="J282:L282"/>
    <mergeCell ref="O270:O271"/>
    <mergeCell ref="E272:K272"/>
    <mergeCell ref="B274:C274"/>
    <mergeCell ref="B276:D276"/>
    <mergeCell ref="F276:H276"/>
    <mergeCell ref="J276:L276"/>
    <mergeCell ref="B253:C253"/>
    <mergeCell ref="F253:J253"/>
    <mergeCell ref="K261:N262"/>
    <mergeCell ref="F264:J264"/>
    <mergeCell ref="K266:N267"/>
    <mergeCell ref="E270:K271"/>
    <mergeCell ref="B227:C227"/>
    <mergeCell ref="F227:I227"/>
    <mergeCell ref="K244:N245"/>
    <mergeCell ref="E248:K249"/>
    <mergeCell ref="O248:O249"/>
    <mergeCell ref="E250:K250"/>
    <mergeCell ref="L214:L215"/>
    <mergeCell ref="D215:E215"/>
    <mergeCell ref="C218:C219"/>
    <mergeCell ref="E218:E219"/>
    <mergeCell ref="G218:G219"/>
    <mergeCell ref="I218:I219"/>
    <mergeCell ref="J218:J219"/>
    <mergeCell ref="K218:K219"/>
    <mergeCell ref="G200:K201"/>
    <mergeCell ref="F207:G208"/>
    <mergeCell ref="B211:C211"/>
    <mergeCell ref="F212:I212"/>
    <mergeCell ref="D214:E214"/>
    <mergeCell ref="F214:G215"/>
    <mergeCell ref="I214:I215"/>
    <mergeCell ref="J214:J215"/>
    <mergeCell ref="G189:G190"/>
    <mergeCell ref="F191:G192"/>
    <mergeCell ref="H191:I191"/>
    <mergeCell ref="J191:K192"/>
    <mergeCell ref="H192:I192"/>
    <mergeCell ref="E195:J195"/>
    <mergeCell ref="B178:C178"/>
    <mergeCell ref="B180:D180"/>
    <mergeCell ref="B183:C183"/>
    <mergeCell ref="E184:J184"/>
    <mergeCell ref="G187:G188"/>
    <mergeCell ref="H187:I187"/>
    <mergeCell ref="J187:K188"/>
    <mergeCell ref="H188:I188"/>
    <mergeCell ref="B162:C162"/>
    <mergeCell ref="B164:C164"/>
    <mergeCell ref="E164:H164"/>
    <mergeCell ref="B168:C168"/>
    <mergeCell ref="B173:C173"/>
    <mergeCell ref="B175:D175"/>
    <mergeCell ref="E152:K153"/>
    <mergeCell ref="O152:O153"/>
    <mergeCell ref="E154:K154"/>
    <mergeCell ref="B156:C156"/>
    <mergeCell ref="B158:C158"/>
    <mergeCell ref="E158:H158"/>
    <mergeCell ref="C146:D147"/>
    <mergeCell ref="E146:F146"/>
    <mergeCell ref="G146:H147"/>
    <mergeCell ref="E147:F147"/>
    <mergeCell ref="K148:N149"/>
    <mergeCell ref="C149:H149"/>
    <mergeCell ref="C135:H135"/>
    <mergeCell ref="C137:H137"/>
    <mergeCell ref="L137:N142"/>
    <mergeCell ref="E139:G139"/>
    <mergeCell ref="C144:D144"/>
    <mergeCell ref="F144:G144"/>
    <mergeCell ref="C130:D130"/>
    <mergeCell ref="F130:G130"/>
    <mergeCell ref="C132:D133"/>
    <mergeCell ref="E132:F132"/>
    <mergeCell ref="G132:H133"/>
    <mergeCell ref="E133:F133"/>
    <mergeCell ref="E117:K118"/>
    <mergeCell ref="O117:O118"/>
    <mergeCell ref="E119:K119"/>
    <mergeCell ref="C122:F122"/>
    <mergeCell ref="C124:H124"/>
    <mergeCell ref="D129:G129"/>
    <mergeCell ref="C102:F102"/>
    <mergeCell ref="C108:D109"/>
    <mergeCell ref="F108:F109"/>
    <mergeCell ref="H110:J111"/>
    <mergeCell ref="L110:N111"/>
    <mergeCell ref="C112:D113"/>
    <mergeCell ref="F112:F113"/>
    <mergeCell ref="F90:I91"/>
    <mergeCell ref="K90:N91"/>
    <mergeCell ref="E94:K95"/>
    <mergeCell ref="O94:O95"/>
    <mergeCell ref="E96:K96"/>
    <mergeCell ref="C99:F99"/>
    <mergeCell ref="H99:I100"/>
    <mergeCell ref="J99:K100"/>
    <mergeCell ref="L99:M99"/>
    <mergeCell ref="L100:M100"/>
    <mergeCell ref="J78:M78"/>
    <mergeCell ref="J81:M81"/>
    <mergeCell ref="C84:F84"/>
    <mergeCell ref="J84:M84"/>
    <mergeCell ref="G85:I85"/>
    <mergeCell ref="C87:F87"/>
    <mergeCell ref="C66:F66"/>
    <mergeCell ref="C69:F69"/>
    <mergeCell ref="C70:F70"/>
    <mergeCell ref="C72:F72"/>
    <mergeCell ref="C73:F73"/>
    <mergeCell ref="C76:F76"/>
    <mergeCell ref="C47:F47"/>
    <mergeCell ref="C50:F50"/>
    <mergeCell ref="C54:F54"/>
    <mergeCell ref="C57:F57"/>
    <mergeCell ref="C59:F59"/>
    <mergeCell ref="C62:F62"/>
    <mergeCell ref="C37:F37"/>
    <mergeCell ref="C39:F39"/>
    <mergeCell ref="H39:K39"/>
    <mergeCell ref="C40:F40"/>
    <mergeCell ref="C43:F43"/>
    <mergeCell ref="C46:F46"/>
    <mergeCell ref="H46:K46"/>
    <mergeCell ref="C31:E31"/>
    <mergeCell ref="I31:K31"/>
    <mergeCell ref="F33:I33"/>
    <mergeCell ref="F34:I34"/>
    <mergeCell ref="C36:F36"/>
    <mergeCell ref="H36:K36"/>
    <mergeCell ref="H19:J19"/>
    <mergeCell ref="F22:H22"/>
    <mergeCell ref="E26:K26"/>
    <mergeCell ref="F27:J27"/>
    <mergeCell ref="C30:E30"/>
    <mergeCell ref="I30:K30"/>
    <mergeCell ref="D10:F10"/>
    <mergeCell ref="I10:K10"/>
    <mergeCell ref="E13:G13"/>
    <mergeCell ref="I13:N13"/>
    <mergeCell ref="F16:H16"/>
    <mergeCell ref="J16:K16"/>
    <mergeCell ref="A2:O2"/>
    <mergeCell ref="B4:D4"/>
    <mergeCell ref="G4:I4"/>
    <mergeCell ref="L4:N4"/>
    <mergeCell ref="E7:F7"/>
    <mergeCell ref="I7:K7"/>
  </mergeCells>
  <pageMargins left="0.7" right="0.7" top="0.75" bottom="0.75" header="0.3" footer="0.3"/>
  <pageSetup paperSize="8"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1C3F0-E1FB-48E8-80D7-DCB1E73D9B7D}">
  <sheetPr codeName="Feuil6"/>
  <dimension ref="B3:Z1023"/>
  <sheetViews>
    <sheetView topLeftCell="A105" zoomScale="85" zoomScaleNormal="85" workbookViewId="0">
      <selection activeCell="I42" sqref="I42:J43"/>
    </sheetView>
  </sheetViews>
  <sheetFormatPr baseColWidth="10" defaultColWidth="10.85546875" defaultRowHeight="15" x14ac:dyDescent="0.25"/>
  <cols>
    <col min="1" max="3" width="10.85546875" style="20"/>
    <col min="4" max="4" width="27.28515625" style="20" customWidth="1"/>
    <col min="5" max="5" width="10.85546875" style="20"/>
    <col min="6" max="6" width="12.28515625" style="20" customWidth="1"/>
    <col min="7" max="7" width="11.85546875" style="20" customWidth="1"/>
    <col min="8" max="8" width="12.28515625" style="20" bestFit="1" customWidth="1"/>
    <col min="9" max="9" width="10.85546875" style="20"/>
    <col min="10" max="10" width="13.140625" style="20" bestFit="1" customWidth="1"/>
    <col min="11" max="12" width="11.42578125" style="20" bestFit="1" customWidth="1"/>
    <col min="13" max="25" width="10.85546875" style="20"/>
    <col min="26" max="26" width="13.42578125" style="20" customWidth="1"/>
    <col min="27" max="16384" width="10.85546875" style="20"/>
  </cols>
  <sheetData>
    <row r="3" spans="2:9" x14ac:dyDescent="0.25">
      <c r="B3" s="94"/>
      <c r="C3" s="94"/>
      <c r="D3" s="94"/>
      <c r="E3" s="94"/>
      <c r="F3" s="94"/>
      <c r="G3" s="94"/>
      <c r="H3" s="94"/>
      <c r="I3" s="94"/>
    </row>
    <row r="4" spans="2:9" x14ac:dyDescent="0.25">
      <c r="B4" s="95"/>
      <c r="C4" s="96" t="s">
        <v>150</v>
      </c>
      <c r="D4" s="97"/>
      <c r="E4" s="1168" t="s">
        <v>151</v>
      </c>
      <c r="F4" s="1169"/>
      <c r="G4" s="97"/>
      <c r="H4" s="1168" t="s">
        <v>152</v>
      </c>
      <c r="I4" s="1169"/>
    </row>
    <row r="5" spans="2:9" ht="15.75" x14ac:dyDescent="0.25">
      <c r="B5" s="94"/>
      <c r="C5" s="98"/>
      <c r="D5" s="98"/>
      <c r="E5" s="98"/>
      <c r="F5" s="98"/>
      <c r="G5" s="98"/>
      <c r="H5" s="98"/>
      <c r="I5" s="98"/>
    </row>
    <row r="6" spans="2:9" x14ac:dyDescent="0.25">
      <c r="B6" s="95"/>
      <c r="C6" s="97"/>
      <c r="D6" s="99" t="s">
        <v>155</v>
      </c>
      <c r="E6" s="97"/>
      <c r="F6" s="1168" t="s">
        <v>156</v>
      </c>
      <c r="G6" s="1169"/>
      <c r="H6" s="97"/>
      <c r="I6" s="97"/>
    </row>
    <row r="7" spans="2:9" ht="15.75" x14ac:dyDescent="0.25">
      <c r="B7" s="94"/>
      <c r="C7" s="98"/>
      <c r="D7" s="98"/>
      <c r="E7" s="98"/>
      <c r="F7" s="98"/>
      <c r="G7" s="98"/>
      <c r="H7" s="98"/>
      <c r="I7" s="98"/>
    </row>
    <row r="8" spans="2:9" x14ac:dyDescent="0.25">
      <c r="B8" s="95"/>
      <c r="C8" s="1168" t="s">
        <v>157</v>
      </c>
      <c r="D8" s="1169"/>
      <c r="E8" s="97"/>
      <c r="F8" s="1168" t="s">
        <v>55</v>
      </c>
      <c r="G8" s="1169"/>
      <c r="H8" s="97"/>
      <c r="I8" s="97"/>
    </row>
    <row r="9" spans="2:9" ht="15.75" x14ac:dyDescent="0.25">
      <c r="B9" s="94"/>
      <c r="C9" s="98"/>
      <c r="D9" s="98"/>
      <c r="E9" s="98"/>
      <c r="F9" s="98"/>
      <c r="G9" s="98"/>
      <c r="H9" s="98"/>
      <c r="I9" s="98"/>
    </row>
    <row r="10" spans="2:9" x14ac:dyDescent="0.25">
      <c r="B10" s="95"/>
      <c r="C10" s="97"/>
      <c r="D10" s="1170" t="s">
        <v>153</v>
      </c>
      <c r="E10" s="1171"/>
      <c r="F10" s="97"/>
      <c r="G10" s="1170" t="s">
        <v>158</v>
      </c>
      <c r="H10" s="1171"/>
      <c r="I10" s="97"/>
    </row>
    <row r="11" spans="2:9" x14ac:dyDescent="0.25">
      <c r="B11" s="95"/>
      <c r="C11" s="97"/>
      <c r="D11" s="1172"/>
      <c r="E11" s="1173"/>
      <c r="F11" s="97"/>
      <c r="G11" s="1172" t="s">
        <v>159</v>
      </c>
      <c r="H11" s="1173"/>
      <c r="I11" s="97"/>
    </row>
    <row r="12" spans="2:9" ht="15.75" x14ac:dyDescent="0.25">
      <c r="B12" s="94"/>
      <c r="C12" s="98"/>
      <c r="D12" s="100"/>
      <c r="E12" s="98"/>
      <c r="F12" s="98"/>
      <c r="G12" s="98"/>
      <c r="H12" s="98"/>
      <c r="I12" s="98"/>
    </row>
    <row r="13" spans="2:9" x14ac:dyDescent="0.25">
      <c r="B13" s="95"/>
      <c r="C13" s="97"/>
      <c r="D13" s="97"/>
      <c r="E13" s="1168" t="s">
        <v>160</v>
      </c>
      <c r="F13" s="1169"/>
      <c r="G13" s="97"/>
      <c r="H13" s="99" t="s">
        <v>161</v>
      </c>
      <c r="I13" s="97"/>
    </row>
    <row r="14" spans="2:9" ht="15.75" x14ac:dyDescent="0.25">
      <c r="B14" s="94"/>
      <c r="C14" s="98"/>
      <c r="D14" s="98"/>
      <c r="E14" s="98"/>
      <c r="F14" s="98"/>
      <c r="G14" s="98"/>
      <c r="H14" s="98"/>
      <c r="I14" s="98"/>
    </row>
    <row r="15" spans="2:9" x14ac:dyDescent="0.25">
      <c r="B15" s="95"/>
      <c r="C15" s="97"/>
      <c r="D15" s="99" t="s">
        <v>162</v>
      </c>
      <c r="E15" s="97"/>
      <c r="F15" s="1168" t="s">
        <v>54</v>
      </c>
      <c r="G15" s="1169"/>
      <c r="H15" s="97"/>
      <c r="I15" s="97"/>
    </row>
    <row r="16" spans="2:9" ht="15.75" x14ac:dyDescent="0.25">
      <c r="B16" s="94"/>
      <c r="C16" s="98"/>
      <c r="D16" s="98"/>
      <c r="E16" s="98"/>
      <c r="F16" s="98"/>
      <c r="G16" s="98"/>
      <c r="H16" s="98"/>
      <c r="I16" s="98"/>
    </row>
    <row r="17" spans="2:9" x14ac:dyDescent="0.25">
      <c r="B17" s="95"/>
      <c r="C17" s="97"/>
      <c r="D17" s="97"/>
      <c r="E17" s="1168" t="s">
        <v>154</v>
      </c>
      <c r="F17" s="1169"/>
      <c r="G17" s="97"/>
      <c r="H17" s="97"/>
      <c r="I17" s="97"/>
    </row>
    <row r="36" spans="2:10" ht="15.75" thickBot="1" x14ac:dyDescent="0.3">
      <c r="E36" s="51"/>
      <c r="F36" s="51"/>
      <c r="G36" s="51"/>
      <c r="H36" s="51"/>
      <c r="I36" s="51"/>
    </row>
    <row r="37" spans="2:10" ht="29.45" customHeight="1" thickTop="1" thickBot="1" x14ac:dyDescent="0.3">
      <c r="B37" s="1141" t="s">
        <v>41</v>
      </c>
      <c r="C37" s="1142"/>
      <c r="D37" s="1142"/>
      <c r="E37" s="1142"/>
      <c r="F37" s="1142"/>
      <c r="G37" s="1142"/>
      <c r="H37" s="1142"/>
      <c r="I37" s="1142"/>
      <c r="J37" s="1143"/>
    </row>
    <row r="38" spans="2:10" ht="15.75" thickTop="1" x14ac:dyDescent="0.25"/>
    <row r="39" spans="2:10" ht="15.75" thickBot="1" x14ac:dyDescent="0.3"/>
    <row r="40" spans="2:10" ht="17.25" thickTop="1" thickBot="1" x14ac:dyDescent="0.3">
      <c r="C40" s="13" t="s">
        <v>10</v>
      </c>
      <c r="D40" s="12"/>
      <c r="E40" s="1174" t="s">
        <v>0</v>
      </c>
      <c r="F40" s="1174"/>
      <c r="G40" s="1174"/>
      <c r="H40" s="18"/>
      <c r="I40" s="5"/>
      <c r="J40" s="6"/>
    </row>
    <row r="41" spans="2:10" ht="17.25" thickTop="1" thickBot="1" x14ac:dyDescent="0.3">
      <c r="C41" s="1184" t="s">
        <v>1</v>
      </c>
      <c r="D41" s="1186" t="s">
        <v>2</v>
      </c>
      <c r="E41" s="1184" t="s">
        <v>3</v>
      </c>
      <c r="F41" s="1186" t="s">
        <v>4</v>
      </c>
      <c r="G41" s="1181" t="s">
        <v>5</v>
      </c>
      <c r="H41" s="1182"/>
      <c r="I41" s="1181" t="s">
        <v>6</v>
      </c>
      <c r="J41" s="1182"/>
    </row>
    <row r="42" spans="2:10" ht="15.75" thickTop="1" x14ac:dyDescent="0.25">
      <c r="C42" s="1185"/>
      <c r="D42" s="1187"/>
      <c r="E42" s="1185"/>
      <c r="F42" s="1187"/>
      <c r="G42" s="1187" t="s">
        <v>7</v>
      </c>
      <c r="H42" s="1188" t="s">
        <v>17</v>
      </c>
      <c r="I42" s="1177" t="s">
        <v>18</v>
      </c>
      <c r="J42" s="1179" t="s">
        <v>19</v>
      </c>
    </row>
    <row r="43" spans="2:10" ht="15.75" thickBot="1" x14ac:dyDescent="0.3">
      <c r="C43" s="1178"/>
      <c r="D43" s="1180"/>
      <c r="E43" s="1178"/>
      <c r="F43" s="1180"/>
      <c r="G43" s="1180"/>
      <c r="H43" s="1189"/>
      <c r="I43" s="1178"/>
      <c r="J43" s="1180"/>
    </row>
    <row r="44" spans="2:10" ht="17.25" thickTop="1" thickBot="1" x14ac:dyDescent="0.3">
      <c r="C44" s="8">
        <v>1</v>
      </c>
      <c r="D44" s="8">
        <v>2</v>
      </c>
      <c r="E44" s="9">
        <v>3</v>
      </c>
      <c r="F44" s="10">
        <v>4</v>
      </c>
      <c r="G44" s="8">
        <v>5</v>
      </c>
      <c r="H44" s="7">
        <v>6</v>
      </c>
      <c r="I44" s="8">
        <v>7</v>
      </c>
      <c r="J44" s="7">
        <v>8</v>
      </c>
    </row>
    <row r="45" spans="2:10" ht="15.75" thickTop="1" x14ac:dyDescent="0.25"/>
    <row r="47" spans="2:10" x14ac:dyDescent="0.25">
      <c r="C47" s="40" t="s">
        <v>45</v>
      </c>
      <c r="D47" s="40"/>
      <c r="E47" s="49" t="s">
        <v>42</v>
      </c>
      <c r="F47" s="20" t="s">
        <v>46</v>
      </c>
      <c r="G47" s="50" t="s">
        <v>43</v>
      </c>
      <c r="H47" s="20" t="s">
        <v>44</v>
      </c>
    </row>
    <row r="49" spans="2:10" x14ac:dyDescent="0.25">
      <c r="C49" s="40" t="s">
        <v>47</v>
      </c>
      <c r="D49" s="40"/>
      <c r="E49" s="49" t="s">
        <v>42</v>
      </c>
      <c r="F49" s="41" t="s">
        <v>44</v>
      </c>
      <c r="G49" s="50" t="s">
        <v>43</v>
      </c>
      <c r="H49" s="20" t="s">
        <v>48</v>
      </c>
    </row>
    <row r="51" spans="2:10" x14ac:dyDescent="0.25">
      <c r="C51" s="40" t="s">
        <v>49</v>
      </c>
      <c r="D51" s="40"/>
      <c r="E51" s="49" t="s">
        <v>42</v>
      </c>
      <c r="F51" s="20" t="s">
        <v>46</v>
      </c>
      <c r="G51" s="50" t="s">
        <v>43</v>
      </c>
      <c r="H51" s="20" t="s">
        <v>47</v>
      </c>
    </row>
    <row r="55" spans="2:10" ht="15.75" thickBot="1" x14ac:dyDescent="0.3"/>
    <row r="56" spans="2:10" ht="27" customHeight="1" thickTop="1" thickBot="1" x14ac:dyDescent="0.3">
      <c r="B56" s="1205" t="s">
        <v>50</v>
      </c>
      <c r="C56" s="1206"/>
      <c r="D56" s="1206"/>
      <c r="E56" s="1206"/>
      <c r="F56" s="1206"/>
      <c r="G56" s="1206"/>
      <c r="H56" s="1206"/>
      <c r="I56" s="1206"/>
      <c r="J56" s="1207"/>
    </row>
    <row r="57" spans="2:10" ht="15.75" thickTop="1" x14ac:dyDescent="0.25"/>
    <row r="59" spans="2:10" ht="18.75" x14ac:dyDescent="0.3">
      <c r="D59" s="1183" t="s">
        <v>77</v>
      </c>
      <c r="E59" s="1183"/>
      <c r="F59" s="1183"/>
      <c r="G59" s="1183"/>
    </row>
    <row r="60" spans="2:10" x14ac:dyDescent="0.25">
      <c r="C60" s="42"/>
    </row>
    <row r="61" spans="2:10" x14ac:dyDescent="0.25">
      <c r="C61" s="43"/>
    </row>
    <row r="62" spans="2:10" ht="15.75" x14ac:dyDescent="0.25">
      <c r="C62" s="37" t="s">
        <v>62</v>
      </c>
      <c r="D62" s="38"/>
      <c r="E62" s="38"/>
    </row>
    <row r="63" spans="2:10" ht="15.75" x14ac:dyDescent="0.25">
      <c r="C63" s="37" t="s">
        <v>63</v>
      </c>
      <c r="D63" s="38"/>
      <c r="E63" s="38"/>
    </row>
    <row r="64" spans="2:10" ht="15.75" x14ac:dyDescent="0.25">
      <c r="C64" s="37" t="s">
        <v>64</v>
      </c>
      <c r="D64" s="38"/>
      <c r="E64" s="38"/>
    </row>
    <row r="65" spans="2:14" ht="15.75" x14ac:dyDescent="0.25">
      <c r="C65" s="37" t="s">
        <v>65</v>
      </c>
      <c r="D65" s="38"/>
      <c r="E65" s="38"/>
    </row>
    <row r="66" spans="2:14" ht="15.75" x14ac:dyDescent="0.25">
      <c r="C66" s="37"/>
      <c r="D66" s="38"/>
      <c r="E66" s="38"/>
    </row>
    <row r="67" spans="2:14" ht="15.75" thickBot="1" x14ac:dyDescent="0.3"/>
    <row r="68" spans="2:14" ht="35.450000000000003" customHeight="1" thickTop="1" thickBot="1" x14ac:dyDescent="0.3">
      <c r="C68" s="1191" t="s">
        <v>66</v>
      </c>
      <c r="D68" s="1192"/>
      <c r="E68" s="44" t="s">
        <v>67</v>
      </c>
      <c r="F68" s="1199" t="s">
        <v>68</v>
      </c>
      <c r="G68" s="1199"/>
      <c r="H68" s="66" t="s">
        <v>69</v>
      </c>
    </row>
    <row r="69" spans="2:14" ht="29.45" customHeight="1" thickTop="1" x14ac:dyDescent="0.25">
      <c r="B69" s="39" t="s">
        <v>88</v>
      </c>
      <c r="C69" s="1193" t="s">
        <v>70</v>
      </c>
      <c r="D69" s="1203"/>
      <c r="E69" s="45">
        <v>150</v>
      </c>
      <c r="F69" s="1200">
        <v>1766.92</v>
      </c>
      <c r="G69" s="1200"/>
      <c r="H69" s="71">
        <v>11.65</v>
      </c>
    </row>
    <row r="70" spans="2:14" ht="29.45" customHeight="1" x14ac:dyDescent="0.25">
      <c r="B70" s="39" t="s">
        <v>61</v>
      </c>
      <c r="C70" s="1195" t="s">
        <v>71</v>
      </c>
      <c r="D70" s="1196"/>
      <c r="E70" s="48">
        <v>170</v>
      </c>
      <c r="F70" s="1175">
        <v>1768</v>
      </c>
      <c r="G70" s="1176"/>
      <c r="H70" s="72">
        <v>11.6568</v>
      </c>
    </row>
    <row r="71" spans="2:14" x14ac:dyDescent="0.25">
      <c r="B71" s="39" t="s">
        <v>60</v>
      </c>
      <c r="C71" s="1195" t="s">
        <v>72</v>
      </c>
      <c r="D71" s="1196"/>
      <c r="E71" s="48">
        <v>185</v>
      </c>
      <c r="F71" s="1201">
        <v>1828</v>
      </c>
      <c r="G71" s="1202"/>
      <c r="H71" s="72">
        <v>12.0524</v>
      </c>
    </row>
    <row r="72" spans="2:14" ht="29.45" customHeight="1" x14ac:dyDescent="0.25">
      <c r="B72" s="39" t="s">
        <v>59</v>
      </c>
      <c r="C72" s="1195" t="s">
        <v>73</v>
      </c>
      <c r="D72" s="1196"/>
      <c r="E72" s="48">
        <v>210</v>
      </c>
      <c r="F72" s="1175">
        <v>2000</v>
      </c>
      <c r="G72" s="1176"/>
      <c r="H72" s="72">
        <v>13.186500000000001</v>
      </c>
    </row>
    <row r="73" spans="2:14" ht="29.45" customHeight="1" x14ac:dyDescent="0.25">
      <c r="B73" s="39" t="s">
        <v>89</v>
      </c>
      <c r="C73" s="1195" t="s">
        <v>74</v>
      </c>
      <c r="D73" s="1196"/>
      <c r="E73" s="46">
        <v>230</v>
      </c>
      <c r="F73" s="1176">
        <v>2138</v>
      </c>
      <c r="G73" s="1176"/>
      <c r="H73" s="72">
        <v>14.096299999999999</v>
      </c>
    </row>
    <row r="74" spans="2:14" ht="29.45" customHeight="1" x14ac:dyDescent="0.25">
      <c r="B74" s="39" t="s">
        <v>90</v>
      </c>
      <c r="C74" s="1195" t="s">
        <v>75</v>
      </c>
      <c r="D74" s="1196"/>
      <c r="E74" s="46">
        <v>250</v>
      </c>
      <c r="F74" s="1176">
        <v>2277</v>
      </c>
      <c r="G74" s="1176"/>
      <c r="H74" s="72">
        <v>15.0128</v>
      </c>
    </row>
    <row r="75" spans="2:14" ht="29.1" customHeight="1" thickBot="1" x14ac:dyDescent="0.3">
      <c r="B75" s="39" t="s">
        <v>58</v>
      </c>
      <c r="C75" s="1197" t="s">
        <v>76</v>
      </c>
      <c r="D75" s="1198"/>
      <c r="E75" s="47">
        <v>270</v>
      </c>
      <c r="F75" s="1190">
        <v>2415</v>
      </c>
      <c r="G75" s="1190"/>
      <c r="H75" s="73">
        <v>15.922700000000001</v>
      </c>
    </row>
    <row r="76" spans="2:14" ht="15.75" thickTop="1" x14ac:dyDescent="0.25">
      <c r="J76" s="80">
        <v>1</v>
      </c>
      <c r="K76" s="92" t="s">
        <v>27</v>
      </c>
      <c r="L76" s="81"/>
      <c r="M76" s="81"/>
      <c r="N76" s="82"/>
    </row>
    <row r="77" spans="2:14" x14ac:dyDescent="0.25">
      <c r="J77" s="74">
        <v>2</v>
      </c>
      <c r="K77" s="74" t="s">
        <v>28</v>
      </c>
      <c r="N77" s="75"/>
    </row>
    <row r="78" spans="2:14" ht="18.75" x14ac:dyDescent="0.3">
      <c r="D78" s="1183" t="s">
        <v>87</v>
      </c>
      <c r="E78" s="1183"/>
      <c r="F78" s="1183"/>
      <c r="G78" s="1183"/>
      <c r="J78" s="86"/>
      <c r="K78" s="86" t="s">
        <v>134</v>
      </c>
      <c r="L78" s="87"/>
      <c r="M78" s="87"/>
      <c r="N78" s="88"/>
    </row>
    <row r="79" spans="2:14" x14ac:dyDescent="0.25">
      <c r="J79" s="83">
        <v>3</v>
      </c>
      <c r="K79" s="83" t="s">
        <v>135</v>
      </c>
      <c r="L79" s="84"/>
      <c r="M79" s="84"/>
      <c r="N79" s="85"/>
    </row>
    <row r="80" spans="2:14" ht="15.75" thickBot="1" x14ac:dyDescent="0.3">
      <c r="J80" s="83">
        <v>4</v>
      </c>
      <c r="K80" s="83" t="s">
        <v>136</v>
      </c>
      <c r="L80" s="84"/>
      <c r="M80" s="84"/>
      <c r="N80" s="85"/>
    </row>
    <row r="81" spans="3:14" ht="14.45" customHeight="1" thickTop="1" thickBot="1" x14ac:dyDescent="0.3">
      <c r="C81" s="1191" t="s">
        <v>78</v>
      </c>
      <c r="D81" s="1192"/>
      <c r="E81" s="1191" t="s">
        <v>68</v>
      </c>
      <c r="F81" s="1192"/>
      <c r="J81" s="83">
        <v>5</v>
      </c>
      <c r="K81" s="83" t="s">
        <v>137</v>
      </c>
      <c r="L81" s="84"/>
      <c r="M81" s="84"/>
      <c r="N81" s="85"/>
    </row>
    <row r="82" spans="3:14" ht="15.75" thickTop="1" x14ac:dyDescent="0.25">
      <c r="C82" s="1193" t="s">
        <v>79</v>
      </c>
      <c r="D82" s="1194"/>
      <c r="E82" s="1209">
        <v>1766.92</v>
      </c>
      <c r="F82" s="1210"/>
      <c r="J82" s="74"/>
      <c r="K82" s="74" t="s">
        <v>29</v>
      </c>
      <c r="N82" s="75"/>
    </row>
    <row r="83" spans="3:14" x14ac:dyDescent="0.25">
      <c r="C83" s="1195" t="s">
        <v>80</v>
      </c>
      <c r="D83" s="1215"/>
      <c r="E83" s="1211">
        <v>1812</v>
      </c>
      <c r="F83" s="1212"/>
      <c r="J83" s="76"/>
      <c r="K83" s="74" t="s">
        <v>30</v>
      </c>
      <c r="N83" s="75"/>
    </row>
    <row r="84" spans="3:14" x14ac:dyDescent="0.25">
      <c r="C84" s="1195" t="s">
        <v>81</v>
      </c>
      <c r="D84" s="1215"/>
      <c r="E84" s="1211">
        <v>1909</v>
      </c>
      <c r="F84" s="1212"/>
      <c r="J84" s="74"/>
      <c r="K84" s="74" t="s">
        <v>31</v>
      </c>
      <c r="N84" s="75"/>
    </row>
    <row r="85" spans="3:14" x14ac:dyDescent="0.25">
      <c r="C85" s="1195" t="s">
        <v>82</v>
      </c>
      <c r="D85" s="1215"/>
      <c r="E85" s="1211">
        <v>2086</v>
      </c>
      <c r="F85" s="1212"/>
      <c r="J85" s="89"/>
      <c r="K85" s="86" t="s">
        <v>32</v>
      </c>
      <c r="L85" s="87"/>
      <c r="M85" s="87"/>
      <c r="N85" s="88"/>
    </row>
    <row r="86" spans="3:14" x14ac:dyDescent="0.25">
      <c r="C86" s="1195" t="s">
        <v>83</v>
      </c>
      <c r="D86" s="1215"/>
      <c r="E86" s="1211">
        <v>2334</v>
      </c>
      <c r="F86" s="1212"/>
      <c r="J86" s="74">
        <v>6</v>
      </c>
      <c r="K86" s="74" t="s">
        <v>138</v>
      </c>
      <c r="N86" s="75"/>
    </row>
    <row r="87" spans="3:14" x14ac:dyDescent="0.25">
      <c r="C87" s="1195" t="s">
        <v>84</v>
      </c>
      <c r="D87" s="1215"/>
      <c r="E87" s="1211">
        <v>2599</v>
      </c>
      <c r="F87" s="1212"/>
      <c r="J87" s="86"/>
      <c r="K87" s="86" t="s">
        <v>139</v>
      </c>
      <c r="L87" s="87"/>
      <c r="M87" s="87"/>
      <c r="N87" s="88"/>
    </row>
    <row r="88" spans="3:14" x14ac:dyDescent="0.25">
      <c r="C88" s="1195" t="s">
        <v>85</v>
      </c>
      <c r="D88" s="1215"/>
      <c r="E88" s="1211">
        <v>2931</v>
      </c>
      <c r="F88" s="1212"/>
      <c r="J88" s="74">
        <v>7</v>
      </c>
      <c r="K88" s="74" t="s">
        <v>34</v>
      </c>
      <c r="N88" s="75"/>
    </row>
    <row r="89" spans="3:14" ht="15.75" thickBot="1" x14ac:dyDescent="0.3">
      <c r="C89" s="1197" t="s">
        <v>86</v>
      </c>
      <c r="D89" s="1208"/>
      <c r="E89" s="1213">
        <v>3117</v>
      </c>
      <c r="F89" s="1214"/>
      <c r="J89" s="86"/>
      <c r="K89" s="86" t="s">
        <v>35</v>
      </c>
      <c r="L89" s="87"/>
      <c r="M89" s="87"/>
      <c r="N89" s="88"/>
    </row>
    <row r="90" spans="3:14" ht="15.75" thickTop="1" x14ac:dyDescent="0.25">
      <c r="J90" s="83">
        <v>8</v>
      </c>
      <c r="K90" s="83" t="s">
        <v>140</v>
      </c>
      <c r="L90" s="84"/>
      <c r="M90" s="84"/>
      <c r="N90" s="85"/>
    </row>
    <row r="91" spans="3:14" x14ac:dyDescent="0.25">
      <c r="J91" s="74"/>
      <c r="K91" s="93" t="s">
        <v>36</v>
      </c>
      <c r="L91" s="69"/>
      <c r="N91" s="75"/>
    </row>
    <row r="92" spans="3:14" ht="18.75" x14ac:dyDescent="0.25">
      <c r="D92" s="1126" t="s">
        <v>104</v>
      </c>
      <c r="E92" s="1126"/>
      <c r="F92" s="1126"/>
      <c r="G92" s="1126"/>
      <c r="J92" s="86"/>
      <c r="K92" s="86" t="s">
        <v>141</v>
      </c>
      <c r="L92" s="70"/>
      <c r="M92" s="87"/>
      <c r="N92" s="88"/>
    </row>
    <row r="93" spans="3:14" x14ac:dyDescent="0.25">
      <c r="J93" s="83">
        <v>9</v>
      </c>
      <c r="K93" s="83" t="s">
        <v>142</v>
      </c>
      <c r="L93" s="84"/>
      <c r="M93" s="91">
        <v>80</v>
      </c>
      <c r="N93" s="85"/>
    </row>
    <row r="94" spans="3:14" ht="15.75" thickBot="1" x14ac:dyDescent="0.3">
      <c r="J94" s="83">
        <v>10</v>
      </c>
      <c r="K94" s="83" t="s">
        <v>143</v>
      </c>
      <c r="L94" s="84"/>
      <c r="M94" s="91">
        <v>56</v>
      </c>
      <c r="N94" s="85"/>
    </row>
    <row r="95" spans="3:14" ht="31.5" thickTop="1" thickBot="1" x14ac:dyDescent="0.3">
      <c r="C95" s="62" t="s">
        <v>91</v>
      </c>
      <c r="D95" s="52" t="s">
        <v>92</v>
      </c>
      <c r="E95" s="63" t="s">
        <v>93</v>
      </c>
      <c r="F95" s="64" t="s">
        <v>94</v>
      </c>
      <c r="G95" s="63" t="s">
        <v>95</v>
      </c>
      <c r="J95" s="83">
        <v>11</v>
      </c>
      <c r="K95" s="83" t="s">
        <v>144</v>
      </c>
      <c r="L95" s="90"/>
      <c r="M95" s="84"/>
      <c r="N95" s="85"/>
    </row>
    <row r="96" spans="3:14" ht="15.75" thickTop="1" x14ac:dyDescent="0.25">
      <c r="C96" s="59" t="s">
        <v>96</v>
      </c>
      <c r="D96" s="60" t="s">
        <v>98</v>
      </c>
      <c r="E96" s="61">
        <v>11</v>
      </c>
      <c r="F96" s="61">
        <v>2.6</v>
      </c>
      <c r="G96" s="61">
        <v>1.61</v>
      </c>
      <c r="J96" s="74">
        <v>12</v>
      </c>
      <c r="K96" s="74" t="s">
        <v>37</v>
      </c>
      <c r="L96" s="69"/>
      <c r="N96" s="75"/>
    </row>
    <row r="97" spans="2:14" x14ac:dyDescent="0.25">
      <c r="C97" s="55" t="s">
        <v>97</v>
      </c>
      <c r="D97" s="57" t="s">
        <v>99</v>
      </c>
      <c r="E97" s="53">
        <v>11</v>
      </c>
      <c r="F97" s="53">
        <v>2.6</v>
      </c>
      <c r="G97" s="53">
        <v>1.73</v>
      </c>
      <c r="J97" s="89"/>
      <c r="K97" s="86" t="s">
        <v>145</v>
      </c>
      <c r="L97" s="70"/>
      <c r="M97" s="87"/>
      <c r="N97" s="88"/>
    </row>
    <row r="98" spans="2:14" x14ac:dyDescent="0.25">
      <c r="C98" s="55">
        <v>2</v>
      </c>
      <c r="D98" s="57" t="s">
        <v>100</v>
      </c>
      <c r="E98" s="53">
        <v>11</v>
      </c>
      <c r="F98" s="53">
        <v>5.46</v>
      </c>
      <c r="G98" s="53">
        <v>3.31</v>
      </c>
      <c r="J98" s="74">
        <v>13</v>
      </c>
      <c r="K98" s="93" t="s">
        <v>38</v>
      </c>
      <c r="L98" s="69"/>
      <c r="N98" s="75"/>
    </row>
    <row r="99" spans="2:14" x14ac:dyDescent="0.25">
      <c r="C99" s="55">
        <v>3</v>
      </c>
      <c r="D99" s="57" t="s">
        <v>101</v>
      </c>
      <c r="E99" s="53">
        <v>11</v>
      </c>
      <c r="F99" s="53">
        <v>8.8800000000000008</v>
      </c>
      <c r="G99" s="53">
        <v>4.6100000000000003</v>
      </c>
      <c r="J99" s="83">
        <v>14</v>
      </c>
      <c r="K99" s="83" t="s">
        <v>146</v>
      </c>
      <c r="L99" s="90"/>
      <c r="M99" s="84"/>
      <c r="N99" s="85"/>
    </row>
    <row r="100" spans="2:14" x14ac:dyDescent="0.25">
      <c r="C100" s="55">
        <v>4</v>
      </c>
      <c r="D100" s="57" t="s">
        <v>102</v>
      </c>
      <c r="E100" s="53">
        <v>11</v>
      </c>
      <c r="F100" s="53">
        <v>11.44</v>
      </c>
      <c r="G100" s="53">
        <v>6.47</v>
      </c>
      <c r="J100" s="83">
        <v>15</v>
      </c>
      <c r="K100" s="83" t="s">
        <v>147</v>
      </c>
      <c r="L100" s="90"/>
      <c r="M100" s="84"/>
      <c r="N100" s="85"/>
    </row>
    <row r="101" spans="2:14" ht="15.75" thickBot="1" x14ac:dyDescent="0.3">
      <c r="C101" s="56">
        <v>5</v>
      </c>
      <c r="D101" s="58" t="s">
        <v>103</v>
      </c>
      <c r="E101" s="54">
        <v>11</v>
      </c>
      <c r="F101" s="54">
        <v>14.23</v>
      </c>
      <c r="G101" s="54">
        <v>7.62</v>
      </c>
      <c r="J101" s="74">
        <v>16</v>
      </c>
      <c r="K101" s="74" t="s">
        <v>39</v>
      </c>
      <c r="L101" s="69"/>
      <c r="N101" s="75"/>
    </row>
    <row r="102" spans="2:14" ht="16.5" thickTop="1" thickBot="1" x14ac:dyDescent="0.3">
      <c r="J102" s="77"/>
      <c r="K102" s="77" t="s">
        <v>148</v>
      </c>
      <c r="L102" s="78"/>
      <c r="M102" s="51"/>
      <c r="N102" s="79"/>
    </row>
    <row r="103" spans="2:14" ht="15.75" thickTop="1" x14ac:dyDescent="0.25"/>
    <row r="104" spans="2:14" ht="15.75" thickBot="1" x14ac:dyDescent="0.3"/>
    <row r="105" spans="2:14" ht="27" customHeight="1" thickTop="1" thickBot="1" x14ac:dyDescent="0.3">
      <c r="B105" s="1141" t="s">
        <v>115</v>
      </c>
      <c r="C105" s="1142"/>
      <c r="D105" s="1142"/>
      <c r="E105" s="1142"/>
      <c r="F105" s="1142"/>
      <c r="G105" s="1142"/>
      <c r="H105" s="1142"/>
      <c r="I105" s="1142"/>
      <c r="J105" s="1143"/>
    </row>
    <row r="106" spans="2:14" ht="15.75" thickTop="1" x14ac:dyDescent="0.25"/>
    <row r="108" spans="2:14" ht="18.75" x14ac:dyDescent="0.25">
      <c r="D108" s="1126" t="s">
        <v>116</v>
      </c>
      <c r="E108" s="1126"/>
      <c r="F108" s="1126"/>
      <c r="G108" s="1126"/>
    </row>
    <row r="111" spans="2:14" x14ac:dyDescent="0.25">
      <c r="B111" s="1204" t="s">
        <v>120</v>
      </c>
      <c r="C111" s="1204"/>
      <c r="D111" s="925" t="s">
        <v>121</v>
      </c>
      <c r="E111" s="925" t="s">
        <v>117</v>
      </c>
      <c r="F111" s="67" t="s">
        <v>118</v>
      </c>
    </row>
    <row r="112" spans="2:14" x14ac:dyDescent="0.25">
      <c r="B112" s="1204"/>
      <c r="C112" s="1204"/>
      <c r="D112" s="925"/>
      <c r="E112" s="925"/>
      <c r="F112" s="39" t="s">
        <v>119</v>
      </c>
    </row>
    <row r="114" spans="2:8" x14ac:dyDescent="0.25">
      <c r="C114" s="925" t="s">
        <v>122</v>
      </c>
      <c r="D114" s="925" t="s">
        <v>123</v>
      </c>
      <c r="E114" s="925" t="s">
        <v>117</v>
      </c>
      <c r="F114" s="67" t="s">
        <v>124</v>
      </c>
      <c r="G114" s="925" t="s">
        <v>42</v>
      </c>
      <c r="H114" s="925" t="s">
        <v>126</v>
      </c>
    </row>
    <row r="115" spans="2:8" x14ac:dyDescent="0.25">
      <c r="C115" s="925"/>
      <c r="D115" s="925"/>
      <c r="E115" s="925"/>
      <c r="F115" s="39" t="s">
        <v>125</v>
      </c>
      <c r="G115" s="925"/>
      <c r="H115" s="925"/>
    </row>
    <row r="118" spans="2:8" ht="18.75" x14ac:dyDescent="0.25">
      <c r="D118" s="1126" t="s">
        <v>127</v>
      </c>
      <c r="E118" s="1126"/>
      <c r="F118" s="1126"/>
      <c r="G118" s="1126"/>
    </row>
    <row r="121" spans="2:8" x14ac:dyDescent="0.25">
      <c r="B121" s="1204" t="s">
        <v>128</v>
      </c>
      <c r="C121" s="1204"/>
      <c r="D121" s="67" t="s">
        <v>129</v>
      </c>
      <c r="E121" s="925" t="s">
        <v>42</v>
      </c>
      <c r="F121" s="925" t="s">
        <v>131</v>
      </c>
      <c r="G121" s="925"/>
      <c r="H121" s="925"/>
    </row>
    <row r="122" spans="2:8" x14ac:dyDescent="0.25">
      <c r="B122" s="1204"/>
      <c r="C122" s="1204"/>
      <c r="D122" s="68" t="s">
        <v>130</v>
      </c>
      <c r="E122" s="925"/>
      <c r="F122" s="925"/>
      <c r="G122" s="925"/>
      <c r="H122" s="925"/>
    </row>
    <row r="125" spans="2:8" x14ac:dyDescent="0.25">
      <c r="B125" s="1204" t="s">
        <v>128</v>
      </c>
      <c r="C125" s="1204"/>
      <c r="D125" s="67" t="s">
        <v>126</v>
      </c>
      <c r="E125" s="925" t="s">
        <v>42</v>
      </c>
      <c r="F125" s="1145">
        <f>4.33/15.85</f>
        <v>0.27318611987381702</v>
      </c>
      <c r="G125" s="1216" t="s">
        <v>133</v>
      </c>
    </row>
    <row r="126" spans="2:8" x14ac:dyDescent="0.25">
      <c r="B126" s="1204"/>
      <c r="C126" s="1204"/>
      <c r="D126" s="39" t="s">
        <v>132</v>
      </c>
      <c r="E126" s="925"/>
      <c r="F126" s="1145"/>
      <c r="G126" s="1216"/>
    </row>
    <row r="132" spans="2:26" x14ac:dyDescent="0.25">
      <c r="D132"/>
    </row>
    <row r="134" spans="2:26" ht="15.75" thickBot="1" x14ac:dyDescent="0.3"/>
    <row r="135" spans="2:26" ht="27.75" thickTop="1" thickBot="1" x14ac:dyDescent="0.3">
      <c r="B135" s="1141" t="s">
        <v>149</v>
      </c>
      <c r="C135" s="1142"/>
      <c r="D135" s="1142"/>
      <c r="E135" s="1142"/>
      <c r="F135" s="1142"/>
      <c r="G135" s="1142"/>
      <c r="H135" s="1142"/>
      <c r="I135" s="1142"/>
      <c r="J135" s="1143"/>
    </row>
    <row r="136" spans="2:26" ht="15.75" thickTop="1" x14ac:dyDescent="0.25"/>
    <row r="137" spans="2:26" ht="15.75" thickBot="1" x14ac:dyDescent="0.3"/>
    <row r="138" spans="2:26" ht="17.25" thickTop="1" thickBot="1" x14ac:dyDescent="0.3">
      <c r="B138" s="108" t="s">
        <v>114</v>
      </c>
      <c r="C138" s="1217"/>
      <c r="D138" s="1217"/>
      <c r="E138" s="1217"/>
      <c r="F138" s="1217"/>
      <c r="G138" s="1217"/>
      <c r="H138" s="1217"/>
      <c r="I138" s="1217"/>
      <c r="J138" s="1217"/>
      <c r="K138" s="1217"/>
      <c r="L138" s="1217"/>
      <c r="M138" s="1217"/>
      <c r="N138" s="1217"/>
      <c r="O138" s="1217"/>
      <c r="P138" s="1217"/>
      <c r="Q138" s="1217"/>
      <c r="R138" s="1218" t="s">
        <v>202</v>
      </c>
      <c r="S138" s="1218"/>
      <c r="T138" s="1218"/>
      <c r="U138" s="1218"/>
      <c r="V138" s="1217"/>
      <c r="W138" s="1217"/>
      <c r="X138" s="1219"/>
      <c r="Y138" s="110" t="s">
        <v>191</v>
      </c>
      <c r="Z138" s="111">
        <f ca="1">TODAY()</f>
        <v>46093</v>
      </c>
    </row>
    <row r="139" spans="2:26" ht="16.5" thickTop="1" thickBot="1" x14ac:dyDescent="0.3">
      <c r="B139" s="1220" t="s">
        <v>176</v>
      </c>
      <c r="C139" s="1221"/>
      <c r="D139" s="1221"/>
      <c r="E139" s="1222"/>
      <c r="F139" s="1223" t="s">
        <v>175</v>
      </c>
      <c r="G139" s="1224"/>
      <c r="H139" s="109" t="s">
        <v>174</v>
      </c>
      <c r="I139" s="1220" t="s">
        <v>173</v>
      </c>
      <c r="J139" s="1221"/>
      <c r="K139" s="1221"/>
      <c r="L139" s="1221"/>
      <c r="M139" s="1221"/>
      <c r="N139" s="1221"/>
      <c r="O139" s="1221"/>
      <c r="P139" s="1221"/>
      <c r="Q139" s="1222"/>
      <c r="R139" s="1220" t="s">
        <v>172</v>
      </c>
      <c r="S139" s="1221"/>
      <c r="T139" s="1221"/>
      <c r="U139" s="1221"/>
      <c r="V139" s="1221"/>
      <c r="W139" s="1221"/>
      <c r="X139" s="1221"/>
      <c r="Y139" s="1221"/>
      <c r="Z139" s="1222"/>
    </row>
    <row r="140" spans="2:26" ht="16.5" thickTop="1" thickBot="1" x14ac:dyDescent="0.3">
      <c r="B140" s="1225" t="s">
        <v>200</v>
      </c>
      <c r="C140" s="1227" t="s">
        <v>201</v>
      </c>
      <c r="D140" s="1229" t="s">
        <v>203</v>
      </c>
      <c r="E140" s="1231" t="s">
        <v>163</v>
      </c>
      <c r="F140" s="1234" t="s">
        <v>169</v>
      </c>
      <c r="G140" s="1229" t="s">
        <v>194</v>
      </c>
      <c r="H140" s="1231" t="s">
        <v>204</v>
      </c>
      <c r="I140" s="1236" t="s">
        <v>171</v>
      </c>
      <c r="J140" s="1236"/>
      <c r="K140" s="1237"/>
      <c r="L140" s="1244" t="s">
        <v>192</v>
      </c>
      <c r="M140" s="1236"/>
      <c r="N140" s="1237"/>
      <c r="O140" s="1241" t="s">
        <v>209</v>
      </c>
      <c r="P140" s="1229" t="s">
        <v>210</v>
      </c>
      <c r="Q140" s="1231" t="s">
        <v>211</v>
      </c>
      <c r="R140" s="1240" t="s">
        <v>193</v>
      </c>
      <c r="S140" s="1240"/>
      <c r="T140" s="1224"/>
      <c r="U140" s="1223" t="s">
        <v>170</v>
      </c>
      <c r="V140" s="1240"/>
      <c r="W140" s="1224"/>
      <c r="X140" s="1241" t="s">
        <v>214</v>
      </c>
      <c r="Y140" s="1229" t="s">
        <v>215</v>
      </c>
      <c r="Z140" s="1231" t="s">
        <v>216</v>
      </c>
    </row>
    <row r="141" spans="2:26" ht="15.75" thickTop="1" x14ac:dyDescent="0.25">
      <c r="B141" s="1225"/>
      <c r="C141" s="1227"/>
      <c r="D141" s="1229"/>
      <c r="E141" s="1232"/>
      <c r="F141" s="1234"/>
      <c r="G141" s="1229"/>
      <c r="H141" s="1232"/>
      <c r="I141" s="1234" t="s">
        <v>205</v>
      </c>
      <c r="J141" s="1227" t="s">
        <v>206</v>
      </c>
      <c r="K141" s="1242" t="s">
        <v>107</v>
      </c>
      <c r="L141" s="1227" t="s">
        <v>207</v>
      </c>
      <c r="M141" s="1227" t="s">
        <v>208</v>
      </c>
      <c r="N141" s="1242" t="s">
        <v>107</v>
      </c>
      <c r="O141" s="1242"/>
      <c r="P141" s="1229"/>
      <c r="Q141" s="1232"/>
      <c r="R141" s="1234" t="s">
        <v>205</v>
      </c>
      <c r="S141" s="1227" t="s">
        <v>206</v>
      </c>
      <c r="T141" s="1242" t="s">
        <v>212</v>
      </c>
      <c r="U141" s="1227" t="s">
        <v>168</v>
      </c>
      <c r="V141" s="1227" t="s">
        <v>213</v>
      </c>
      <c r="W141" s="1227" t="s">
        <v>107</v>
      </c>
      <c r="X141" s="1242"/>
      <c r="Y141" s="1229"/>
      <c r="Z141" s="1232"/>
    </row>
    <row r="142" spans="2:26" ht="20.45" customHeight="1" thickBot="1" x14ac:dyDescent="0.3">
      <c r="B142" s="1226"/>
      <c r="C142" s="1228"/>
      <c r="D142" s="1230"/>
      <c r="E142" s="1233"/>
      <c r="F142" s="1235"/>
      <c r="G142" s="1230"/>
      <c r="H142" s="1233"/>
      <c r="I142" s="1235"/>
      <c r="J142" s="1228"/>
      <c r="K142" s="1243"/>
      <c r="L142" s="1228"/>
      <c r="M142" s="1228"/>
      <c r="N142" s="1243"/>
      <c r="O142" s="1243"/>
      <c r="P142" s="1230"/>
      <c r="Q142" s="1233"/>
      <c r="R142" s="1235"/>
      <c r="S142" s="1228"/>
      <c r="T142" s="1243"/>
      <c r="U142" s="1228"/>
      <c r="V142" s="1228"/>
      <c r="W142" s="1228"/>
      <c r="X142" s="1243"/>
      <c r="Y142" s="1230"/>
      <c r="Z142" s="1233"/>
    </row>
    <row r="143" spans="2:26" ht="15.75" thickTop="1" x14ac:dyDescent="0.25">
      <c r="B143" s="101"/>
      <c r="C143" s="101"/>
      <c r="D143" s="101"/>
      <c r="E143" s="104"/>
      <c r="F143" s="101"/>
      <c r="G143" s="101"/>
      <c r="H143" s="107"/>
      <c r="I143" s="101"/>
      <c r="J143" s="101"/>
      <c r="K143" s="102" t="s">
        <v>167</v>
      </c>
      <c r="L143" s="101"/>
      <c r="M143" s="101"/>
      <c r="N143" s="102" t="s">
        <v>166</v>
      </c>
      <c r="O143" s="102" t="s">
        <v>165</v>
      </c>
      <c r="P143" s="101"/>
      <c r="Q143" s="107" t="s">
        <v>195</v>
      </c>
      <c r="R143" s="101"/>
      <c r="S143" s="101"/>
      <c r="T143" s="102" t="s">
        <v>196</v>
      </c>
      <c r="U143" s="101"/>
      <c r="V143" s="101"/>
      <c r="W143" s="102" t="s">
        <v>197</v>
      </c>
      <c r="X143" s="102" t="s">
        <v>164</v>
      </c>
      <c r="Y143" s="101"/>
      <c r="Z143" s="107" t="s">
        <v>198</v>
      </c>
    </row>
    <row r="144" spans="2:26" x14ac:dyDescent="0.25">
      <c r="B144" s="103">
        <v>1</v>
      </c>
      <c r="C144" s="103">
        <v>2</v>
      </c>
      <c r="D144" s="103">
        <v>3</v>
      </c>
      <c r="E144" s="105">
        <v>4</v>
      </c>
      <c r="F144" s="103">
        <v>5</v>
      </c>
      <c r="G144" s="103">
        <v>6</v>
      </c>
      <c r="H144" s="105">
        <v>7</v>
      </c>
      <c r="I144" s="103">
        <v>8</v>
      </c>
      <c r="J144" s="103">
        <v>9</v>
      </c>
      <c r="K144" s="106">
        <v>10</v>
      </c>
      <c r="L144" s="103">
        <v>11</v>
      </c>
      <c r="M144" s="103">
        <v>12</v>
      </c>
      <c r="N144" s="106">
        <v>13</v>
      </c>
      <c r="O144" s="106">
        <v>14</v>
      </c>
      <c r="P144" s="103">
        <v>15</v>
      </c>
      <c r="Q144" s="105">
        <v>16</v>
      </c>
      <c r="R144" s="103">
        <v>17</v>
      </c>
      <c r="S144" s="103">
        <v>18</v>
      </c>
      <c r="T144" s="106">
        <v>19</v>
      </c>
      <c r="U144" s="103">
        <v>20</v>
      </c>
      <c r="V144" s="103">
        <v>21</v>
      </c>
      <c r="W144" s="106">
        <v>22</v>
      </c>
      <c r="X144" s="106">
        <v>23</v>
      </c>
      <c r="Y144" s="103">
        <v>24</v>
      </c>
      <c r="Z144" s="105">
        <v>25</v>
      </c>
    </row>
    <row r="147" spans="3:7" ht="18.75" x14ac:dyDescent="0.25">
      <c r="D147" s="1126" t="s">
        <v>177</v>
      </c>
      <c r="E147" s="1126"/>
      <c r="F147" s="1126"/>
      <c r="G147" s="1126"/>
    </row>
    <row r="150" spans="3:7" x14ac:dyDescent="0.25">
      <c r="C150" s="20" t="s">
        <v>178</v>
      </c>
      <c r="G150" s="20" t="s">
        <v>179</v>
      </c>
    </row>
    <row r="152" spans="3:7" x14ac:dyDescent="0.25">
      <c r="C152" s="1167" t="s">
        <v>180</v>
      </c>
      <c r="D152" s="1167"/>
      <c r="E152" s="1167"/>
      <c r="G152" s="1129" t="s">
        <v>181</v>
      </c>
    </row>
    <row r="153" spans="3:7" x14ac:dyDescent="0.25">
      <c r="C153" s="1167"/>
      <c r="D153" s="1167"/>
      <c r="E153" s="1167"/>
      <c r="G153" s="1129"/>
    </row>
    <row r="156" spans="3:7" ht="18.75" x14ac:dyDescent="0.25">
      <c r="D156" s="1126" t="s">
        <v>182</v>
      </c>
      <c r="E156" s="1126"/>
      <c r="F156" s="1126"/>
      <c r="G156" s="1126"/>
    </row>
    <row r="159" spans="3:7" x14ac:dyDescent="0.25">
      <c r="C159" s="1238" t="s">
        <v>183</v>
      </c>
      <c r="D159" s="1239"/>
      <c r="E159" s="1239"/>
      <c r="G159" s="20" t="s">
        <v>184</v>
      </c>
    </row>
    <row r="160" spans="3:7" x14ac:dyDescent="0.25">
      <c r="C160" s="1239"/>
      <c r="D160" s="1239"/>
      <c r="E160" s="1239"/>
      <c r="G160" s="20" t="s">
        <v>185</v>
      </c>
    </row>
    <row r="161" spans="3:7" x14ac:dyDescent="0.25">
      <c r="C161" s="1239"/>
      <c r="D161" s="1239"/>
      <c r="E161" s="1239"/>
    </row>
    <row r="164" spans="3:7" ht="18.75" x14ac:dyDescent="0.25">
      <c r="D164" s="1126" t="s">
        <v>186</v>
      </c>
      <c r="E164" s="1126"/>
      <c r="F164" s="1126"/>
      <c r="G164" s="1126"/>
    </row>
    <row r="167" spans="3:7" x14ac:dyDescent="0.25">
      <c r="C167" s="20" t="s">
        <v>187</v>
      </c>
      <c r="G167" s="20" t="s">
        <v>189</v>
      </c>
    </row>
    <row r="169" spans="3:7" x14ac:dyDescent="0.25">
      <c r="C169" s="20" t="s">
        <v>188</v>
      </c>
      <c r="G169" s="20" t="s">
        <v>190</v>
      </c>
    </row>
    <row r="171" spans="3:7" ht="15.75" x14ac:dyDescent="0.25">
      <c r="D171" s="1140" t="s">
        <v>171</v>
      </c>
      <c r="E171" s="1140"/>
      <c r="F171" s="1140"/>
    </row>
    <row r="174" spans="3:7" x14ac:dyDescent="0.25">
      <c r="C174" s="1167" t="s">
        <v>226</v>
      </c>
      <c r="D174" s="1167"/>
      <c r="E174" s="1167"/>
      <c r="G174" s="1129" t="s">
        <v>223</v>
      </c>
    </row>
    <row r="175" spans="3:7" x14ac:dyDescent="0.25">
      <c r="C175" s="1167"/>
      <c r="D175" s="1167"/>
      <c r="E175" s="1167"/>
      <c r="G175" s="1129"/>
    </row>
    <row r="176" spans="3:7" x14ac:dyDescent="0.25">
      <c r="C176" s="1167"/>
      <c r="D176" s="1167"/>
      <c r="E176" s="1167"/>
      <c r="G176" s="1129"/>
    </row>
    <row r="177" spans="3:7" x14ac:dyDescent="0.25">
      <c r="C177" s="1167"/>
      <c r="D177" s="1167"/>
      <c r="E177" s="1167"/>
      <c r="G177" s="1129"/>
    </row>
    <row r="178" spans="3:7" x14ac:dyDescent="0.25">
      <c r="C178" s="1167"/>
      <c r="D178" s="1167"/>
      <c r="E178" s="1167"/>
      <c r="G178" s="1129"/>
    </row>
    <row r="180" spans="3:7" x14ac:dyDescent="0.25">
      <c r="C180" s="1129" t="s">
        <v>206</v>
      </c>
      <c r="D180" s="1129"/>
      <c r="E180" s="1129"/>
      <c r="G180" s="20" t="s">
        <v>224</v>
      </c>
    </row>
    <row r="182" spans="3:7" x14ac:dyDescent="0.25">
      <c r="C182" s="1137" t="s">
        <v>227</v>
      </c>
      <c r="D182" s="1137"/>
      <c r="E182" s="1137"/>
      <c r="G182" s="20" t="s">
        <v>225</v>
      </c>
    </row>
    <row r="185" spans="3:7" ht="15.75" x14ac:dyDescent="0.25">
      <c r="D185" s="1140" t="s">
        <v>192</v>
      </c>
      <c r="E185" s="1140"/>
      <c r="F185" s="1140"/>
    </row>
    <row r="187" spans="3:7" x14ac:dyDescent="0.25">
      <c r="C187" s="20" t="s">
        <v>228</v>
      </c>
      <c r="G187" s="20" t="s">
        <v>229</v>
      </c>
    </row>
    <row r="189" spans="3:7" x14ac:dyDescent="0.25">
      <c r="C189" s="20" t="s">
        <v>230</v>
      </c>
      <c r="G189" s="20" t="s">
        <v>231</v>
      </c>
    </row>
    <row r="191" spans="3:7" x14ac:dyDescent="0.25">
      <c r="C191" s="1137" t="s">
        <v>232</v>
      </c>
      <c r="D191" s="1137"/>
      <c r="E191" s="1137"/>
      <c r="G191" s="20" t="s">
        <v>233</v>
      </c>
    </row>
    <row r="194" spans="3:7" ht="15.75" x14ac:dyDescent="0.25">
      <c r="D194" s="1140" t="s">
        <v>235</v>
      </c>
      <c r="E194" s="1140"/>
      <c r="F194" s="1140"/>
    </row>
    <row r="197" spans="3:7" x14ac:dyDescent="0.25">
      <c r="C197" s="1137" t="s">
        <v>236</v>
      </c>
      <c r="D197" s="1137"/>
      <c r="E197" s="1137"/>
      <c r="G197" s="20" t="s">
        <v>189</v>
      </c>
    </row>
    <row r="200" spans="3:7" ht="15.75" x14ac:dyDescent="0.25">
      <c r="D200" s="1140" t="s">
        <v>237</v>
      </c>
      <c r="E200" s="1140"/>
      <c r="F200" s="1140"/>
    </row>
    <row r="202" spans="3:7" x14ac:dyDescent="0.25">
      <c r="C202" s="20" t="s">
        <v>238</v>
      </c>
      <c r="D202" s="20" t="s">
        <v>13</v>
      </c>
      <c r="G202" s="113" t="s">
        <v>190</v>
      </c>
    </row>
    <row r="205" spans="3:7" ht="15.75" x14ac:dyDescent="0.25">
      <c r="D205" s="1140" t="s">
        <v>234</v>
      </c>
      <c r="E205" s="1140"/>
      <c r="F205" s="1140"/>
    </row>
    <row r="207" spans="3:7" x14ac:dyDescent="0.25">
      <c r="C207" s="1129" t="s">
        <v>239</v>
      </c>
      <c r="D207" s="1129"/>
      <c r="E207" s="114"/>
      <c r="G207" s="113" t="s">
        <v>240</v>
      </c>
    </row>
    <row r="208" spans="3:7" x14ac:dyDescent="0.25">
      <c r="C208" s="1129"/>
      <c r="D208" s="1129"/>
      <c r="E208" s="114"/>
    </row>
    <row r="209" spans="3:7" x14ac:dyDescent="0.25">
      <c r="C209" s="112"/>
      <c r="D209" s="112"/>
      <c r="E209" s="114"/>
    </row>
    <row r="210" spans="3:7" x14ac:dyDescent="0.25">
      <c r="C210" s="112"/>
      <c r="D210" s="112"/>
      <c r="E210" s="114"/>
    </row>
    <row r="211" spans="3:7" ht="18.75" x14ac:dyDescent="0.25">
      <c r="C211" s="112"/>
      <c r="D211" s="1126" t="s">
        <v>172</v>
      </c>
      <c r="E211" s="1126"/>
      <c r="F211" s="1126"/>
      <c r="G211" s="1126"/>
    </row>
    <row r="212" spans="3:7" x14ac:dyDescent="0.25">
      <c r="C212" s="112"/>
      <c r="D212" s="112"/>
      <c r="E212" s="114"/>
    </row>
    <row r="213" spans="3:7" x14ac:dyDescent="0.25">
      <c r="C213" s="114"/>
      <c r="D213" s="114"/>
      <c r="E213" s="114"/>
    </row>
    <row r="214" spans="3:7" ht="15.75" x14ac:dyDescent="0.25">
      <c r="D214" s="1140" t="s">
        <v>193</v>
      </c>
      <c r="E214" s="1140"/>
      <c r="F214" s="1140"/>
    </row>
    <row r="216" spans="3:7" x14ac:dyDescent="0.25">
      <c r="C216" s="20" t="s">
        <v>241</v>
      </c>
      <c r="G216" s="113" t="s">
        <v>242</v>
      </c>
    </row>
    <row r="218" spans="3:7" x14ac:dyDescent="0.25">
      <c r="C218" s="20" t="s">
        <v>206</v>
      </c>
      <c r="G218" s="113" t="s">
        <v>243</v>
      </c>
    </row>
    <row r="220" spans="3:7" x14ac:dyDescent="0.25">
      <c r="C220" s="925" t="s">
        <v>244</v>
      </c>
      <c r="D220" s="925"/>
      <c r="E220" s="925"/>
    </row>
    <row r="221" spans="3:7" x14ac:dyDescent="0.25">
      <c r="C221" s="925"/>
      <c r="D221" s="925"/>
      <c r="E221" s="925"/>
      <c r="G221" s="113" t="s">
        <v>245</v>
      </c>
    </row>
    <row r="224" spans="3:7" ht="15.75" x14ac:dyDescent="0.25">
      <c r="D224" s="1140" t="s">
        <v>170</v>
      </c>
      <c r="E224" s="1140"/>
      <c r="F224" s="1140"/>
    </row>
    <row r="226" spans="3:7" x14ac:dyDescent="0.25">
      <c r="C226" s="20" t="s">
        <v>246</v>
      </c>
      <c r="D226" s="20" t="s">
        <v>247</v>
      </c>
      <c r="G226" s="113" t="s">
        <v>248</v>
      </c>
    </row>
    <row r="228" spans="3:7" x14ac:dyDescent="0.25">
      <c r="C228" s="20" t="s">
        <v>213</v>
      </c>
      <c r="G228" s="113" t="s">
        <v>249</v>
      </c>
    </row>
    <row r="230" spans="3:7" x14ac:dyDescent="0.25">
      <c r="C230" s="925" t="s">
        <v>250</v>
      </c>
      <c r="D230" s="925"/>
    </row>
    <row r="231" spans="3:7" x14ac:dyDescent="0.25">
      <c r="C231" s="925"/>
      <c r="D231" s="925"/>
      <c r="G231" s="113" t="s">
        <v>251</v>
      </c>
    </row>
    <row r="232" spans="3:7" x14ac:dyDescent="0.25">
      <c r="C232" s="925"/>
      <c r="D232" s="925"/>
    </row>
    <row r="234" spans="3:7" ht="15.75" x14ac:dyDescent="0.25">
      <c r="D234" s="1140" t="s">
        <v>253</v>
      </c>
      <c r="E234" s="1140"/>
      <c r="F234" s="1140"/>
    </row>
    <row r="236" spans="3:7" x14ac:dyDescent="0.25">
      <c r="C236" s="1129" t="s">
        <v>254</v>
      </c>
      <c r="D236" s="1129"/>
      <c r="G236" s="925" t="s">
        <v>255</v>
      </c>
    </row>
    <row r="237" spans="3:7" x14ac:dyDescent="0.25">
      <c r="C237" s="1129"/>
      <c r="D237" s="1129"/>
      <c r="G237" s="925"/>
    </row>
    <row r="238" spans="3:7" x14ac:dyDescent="0.25">
      <c r="C238" s="112"/>
      <c r="D238" s="112"/>
      <c r="F238" s="39"/>
    </row>
    <row r="239" spans="3:7" ht="15.75" x14ac:dyDescent="0.25">
      <c r="C239" s="112"/>
      <c r="D239" s="1140" t="s">
        <v>256</v>
      </c>
      <c r="E239" s="1140"/>
      <c r="F239" s="1140"/>
    </row>
    <row r="240" spans="3:7" x14ac:dyDescent="0.25">
      <c r="C240" s="112"/>
      <c r="D240" s="112"/>
      <c r="F240" s="39"/>
    </row>
    <row r="241" spans="2:10" x14ac:dyDescent="0.25">
      <c r="C241" s="112" t="s">
        <v>257</v>
      </c>
      <c r="D241" s="112"/>
      <c r="F241" s="39"/>
      <c r="G241" s="113" t="s">
        <v>258</v>
      </c>
    </row>
    <row r="242" spans="2:10" x14ac:dyDescent="0.25">
      <c r="C242" s="112"/>
      <c r="D242" s="112"/>
      <c r="F242" s="39"/>
    </row>
    <row r="244" spans="2:10" ht="15.75" x14ac:dyDescent="0.25">
      <c r="D244" s="1140" t="s">
        <v>252</v>
      </c>
      <c r="E244" s="1140"/>
      <c r="F244" s="1140"/>
    </row>
    <row r="246" spans="2:10" x14ac:dyDescent="0.25">
      <c r="C246" s="20" t="s">
        <v>259</v>
      </c>
      <c r="G246" s="113" t="s">
        <v>260</v>
      </c>
    </row>
    <row r="249" spans="2:10" ht="15.75" thickBot="1" x14ac:dyDescent="0.3"/>
    <row r="250" spans="2:10" ht="27.75" thickTop="1" thickBot="1" x14ac:dyDescent="0.3">
      <c r="B250" s="1141" t="s">
        <v>268</v>
      </c>
      <c r="C250" s="1142" t="s">
        <v>263</v>
      </c>
      <c r="D250" s="1142" t="s">
        <v>262</v>
      </c>
      <c r="E250" s="1142"/>
      <c r="F250" s="1142"/>
      <c r="G250" s="1142"/>
      <c r="H250" s="1142"/>
      <c r="I250" s="1142"/>
      <c r="J250" s="1143"/>
    </row>
    <row r="251" spans="2:10" ht="15.75" thickTop="1" x14ac:dyDescent="0.25"/>
    <row r="253" spans="2:10" ht="18.75" x14ac:dyDescent="0.25">
      <c r="D253" s="1126" t="s">
        <v>264</v>
      </c>
      <c r="E253" s="1126"/>
      <c r="F253" s="1126"/>
      <c r="G253" s="1126"/>
    </row>
    <row r="255" spans="2:10" x14ac:dyDescent="0.25">
      <c r="C255" s="1245" t="s">
        <v>265</v>
      </c>
      <c r="D255" s="1245"/>
      <c r="E255" s="1245"/>
      <c r="F255" s="1245"/>
      <c r="G255" s="1245"/>
      <c r="H255" s="1245"/>
    </row>
    <row r="256" spans="2:10" x14ac:dyDescent="0.25">
      <c r="C256" s="1245"/>
      <c r="D256" s="1245"/>
      <c r="E256" s="1245"/>
      <c r="F256" s="1245"/>
      <c r="G256" s="1245"/>
      <c r="H256" s="1245"/>
    </row>
    <row r="257" spans="2:8" x14ac:dyDescent="0.25">
      <c r="C257" s="1245"/>
      <c r="D257" s="1245"/>
      <c r="E257" s="1245"/>
      <c r="F257" s="1245"/>
      <c r="G257" s="1245"/>
      <c r="H257" s="1245"/>
    </row>
    <row r="258" spans="2:8" x14ac:dyDescent="0.25">
      <c r="C258" s="115"/>
      <c r="D258" s="115"/>
      <c r="E258" s="115"/>
      <c r="F258" s="115"/>
      <c r="G258" s="115"/>
      <c r="H258" s="115"/>
    </row>
    <row r="259" spans="2:8" x14ac:dyDescent="0.25">
      <c r="D259" s="39" t="s">
        <v>271</v>
      </c>
      <c r="E259" s="115"/>
      <c r="F259" s="115"/>
      <c r="G259" s="115"/>
      <c r="H259" s="115"/>
    </row>
    <row r="260" spans="2:8" x14ac:dyDescent="0.25">
      <c r="E260" s="39" t="s">
        <v>272</v>
      </c>
      <c r="F260" s="115"/>
      <c r="G260" s="115"/>
      <c r="H260" s="115"/>
    </row>
    <row r="261" spans="2:8" x14ac:dyDescent="0.25">
      <c r="E261" s="39"/>
      <c r="F261" s="115"/>
      <c r="G261" s="115"/>
      <c r="H261" s="115"/>
    </row>
    <row r="262" spans="2:8" x14ac:dyDescent="0.25">
      <c r="B262" s="1245" t="s">
        <v>273</v>
      </c>
      <c r="C262" s="1245"/>
      <c r="D262" s="116" t="s">
        <v>269</v>
      </c>
      <c r="E262" s="116" t="s">
        <v>274</v>
      </c>
      <c r="F262" s="1245" t="s">
        <v>42</v>
      </c>
      <c r="G262" s="1245" t="s">
        <v>276</v>
      </c>
      <c r="H262" s="115"/>
    </row>
    <row r="263" spans="2:8" x14ac:dyDescent="0.25">
      <c r="B263" s="1245"/>
      <c r="C263" s="1245"/>
      <c r="D263" s="115" t="s">
        <v>270</v>
      </c>
      <c r="E263" s="115" t="s">
        <v>275</v>
      </c>
      <c r="F263" s="1245"/>
      <c r="G263" s="1245"/>
      <c r="H263" s="115"/>
    </row>
    <row r="264" spans="2:8" x14ac:dyDescent="0.25">
      <c r="C264" s="115"/>
      <c r="D264" s="115"/>
      <c r="E264" s="115"/>
      <c r="F264" s="115"/>
      <c r="G264" s="115"/>
      <c r="H264" s="115"/>
    </row>
    <row r="265" spans="2:8" x14ac:dyDescent="0.25">
      <c r="D265" s="39" t="s">
        <v>277</v>
      </c>
      <c r="F265" s="115"/>
      <c r="G265" s="115"/>
      <c r="H265" s="115"/>
    </row>
    <row r="266" spans="2:8" x14ac:dyDescent="0.25">
      <c r="C266" s="115"/>
      <c r="D266" s="115"/>
      <c r="E266" s="115"/>
      <c r="F266" s="115"/>
      <c r="G266" s="115"/>
      <c r="H266" s="115"/>
    </row>
    <row r="267" spans="2:8" x14ac:dyDescent="0.25">
      <c r="B267" s="1245" t="s">
        <v>278</v>
      </c>
      <c r="C267" s="1245"/>
      <c r="D267" s="116" t="s">
        <v>279</v>
      </c>
      <c r="E267" s="1245" t="s">
        <v>42</v>
      </c>
      <c r="F267" s="1245" t="s">
        <v>280</v>
      </c>
      <c r="G267" s="115"/>
      <c r="H267" s="115"/>
    </row>
    <row r="268" spans="2:8" x14ac:dyDescent="0.25">
      <c r="B268" s="1245"/>
      <c r="C268" s="1245"/>
      <c r="D268" s="115" t="s">
        <v>276</v>
      </c>
      <c r="E268" s="1245"/>
      <c r="F268" s="1245"/>
      <c r="G268" s="115"/>
      <c r="H268" s="115"/>
    </row>
    <row r="269" spans="2:8" x14ac:dyDescent="0.25">
      <c r="B269" s="1245"/>
      <c r="C269" s="1245"/>
      <c r="D269" s="117"/>
      <c r="E269" s="115"/>
      <c r="F269" s="115"/>
      <c r="G269" s="115"/>
      <c r="H269" s="115"/>
    </row>
    <row r="271" spans="2:8" ht="18.75" x14ac:dyDescent="0.25">
      <c r="D271" s="1126" t="s">
        <v>266</v>
      </c>
      <c r="E271" s="1126"/>
      <c r="F271" s="1126"/>
      <c r="G271" s="1126"/>
    </row>
    <row r="273" spans="3:8" x14ac:dyDescent="0.25">
      <c r="C273" s="1245" t="s">
        <v>267</v>
      </c>
      <c r="D273" s="1245"/>
      <c r="E273" s="1245"/>
      <c r="F273" s="1245"/>
      <c r="G273" s="1245"/>
      <c r="H273" s="1245"/>
    </row>
    <row r="274" spans="3:8" x14ac:dyDescent="0.25">
      <c r="C274" s="1245"/>
      <c r="D274" s="1245"/>
      <c r="E274" s="1245"/>
      <c r="F274" s="1245"/>
      <c r="G274" s="1245"/>
      <c r="H274" s="1245"/>
    </row>
    <row r="275" spans="3:8" x14ac:dyDescent="0.25">
      <c r="C275" s="1245"/>
      <c r="D275" s="1245"/>
      <c r="E275" s="1245"/>
      <c r="F275" s="1245"/>
      <c r="G275" s="1245"/>
      <c r="H275" s="1245"/>
    </row>
    <row r="277" spans="3:8" x14ac:dyDescent="0.25">
      <c r="C277" s="20" t="s">
        <v>281</v>
      </c>
    </row>
    <row r="278" spans="3:8" x14ac:dyDescent="0.25">
      <c r="C278" s="20" t="s">
        <v>282</v>
      </c>
    </row>
    <row r="279" spans="3:8" x14ac:dyDescent="0.25">
      <c r="C279" s="20" t="s">
        <v>283</v>
      </c>
    </row>
    <row r="280" spans="3:8" x14ac:dyDescent="0.25">
      <c r="C280" s="20" t="s">
        <v>284</v>
      </c>
    </row>
    <row r="281" spans="3:8" x14ac:dyDescent="0.25">
      <c r="C281" s="20" t="s">
        <v>285</v>
      </c>
    </row>
    <row r="283" spans="3:8" x14ac:dyDescent="0.25">
      <c r="D283" s="20" t="s">
        <v>286</v>
      </c>
      <c r="E283" s="20">
        <v>5200</v>
      </c>
      <c r="F283" s="118" t="s">
        <v>16</v>
      </c>
    </row>
    <row r="284" spans="3:8" x14ac:dyDescent="0.25">
      <c r="D284" s="20" t="s">
        <v>287</v>
      </c>
      <c r="E284" s="87">
        <v>1500</v>
      </c>
      <c r="F284" s="118" t="s">
        <v>16</v>
      </c>
    </row>
    <row r="285" spans="3:8" x14ac:dyDescent="0.25">
      <c r="D285" s="20" t="s">
        <v>112</v>
      </c>
      <c r="E285" s="20">
        <f>SUM(E283:E284)</f>
        <v>6700</v>
      </c>
      <c r="F285" s="118" t="s">
        <v>16</v>
      </c>
    </row>
    <row r="286" spans="3:8" x14ac:dyDescent="0.25">
      <c r="D286" s="20" t="s">
        <v>289</v>
      </c>
      <c r="E286" s="87">
        <v>800</v>
      </c>
      <c r="F286" s="20" t="s">
        <v>290</v>
      </c>
    </row>
    <row r="287" spans="3:8" x14ac:dyDescent="0.25">
      <c r="E287" s="20">
        <f>SUM(E285/E286)</f>
        <v>8.375</v>
      </c>
      <c r="F287" s="20" t="s">
        <v>288</v>
      </c>
    </row>
    <row r="289" spans="3:7" ht="18.75" x14ac:dyDescent="0.25">
      <c r="D289" s="1126" t="s">
        <v>291</v>
      </c>
      <c r="E289" s="1126"/>
      <c r="F289" s="1126"/>
      <c r="G289" s="1126"/>
    </row>
    <row r="291" spans="3:7" x14ac:dyDescent="0.25">
      <c r="C291" s="20" t="s">
        <v>297</v>
      </c>
    </row>
    <row r="292" spans="3:7" x14ac:dyDescent="0.25">
      <c r="C292" s="20" t="s">
        <v>292</v>
      </c>
    </row>
    <row r="293" spans="3:7" x14ac:dyDescent="0.25">
      <c r="C293" s="20" t="s">
        <v>293</v>
      </c>
    </row>
    <row r="294" spans="3:7" x14ac:dyDescent="0.25">
      <c r="C294" s="20" t="s">
        <v>294</v>
      </c>
    </row>
    <row r="296" spans="3:7" x14ac:dyDescent="0.25">
      <c r="D296" s="67" t="s">
        <v>298</v>
      </c>
      <c r="E296" s="925" t="s">
        <v>42</v>
      </c>
      <c r="F296" s="1252">
        <f>((5+1)*40)/15.8</f>
        <v>15.189873417721518</v>
      </c>
      <c r="G296" s="1129" t="s">
        <v>300</v>
      </c>
    </row>
    <row r="297" spans="3:7" x14ac:dyDescent="0.25">
      <c r="D297" s="39" t="s">
        <v>299</v>
      </c>
      <c r="E297" s="925"/>
      <c r="F297" s="1252"/>
      <c r="G297" s="1129"/>
    </row>
    <row r="299" spans="3:7" x14ac:dyDescent="0.25">
      <c r="D299" s="39" t="s">
        <v>295</v>
      </c>
    </row>
    <row r="300" spans="3:7" x14ac:dyDescent="0.25">
      <c r="D300" s="39"/>
    </row>
    <row r="301" spans="3:7" x14ac:dyDescent="0.25">
      <c r="C301" s="20" t="s">
        <v>302</v>
      </c>
    </row>
    <row r="303" spans="3:7" x14ac:dyDescent="0.25">
      <c r="D303" s="67" t="s">
        <v>301</v>
      </c>
      <c r="E303" s="925" t="s">
        <v>42</v>
      </c>
      <c r="F303" s="1252">
        <f>(5+1)/15.8</f>
        <v>0.37974683544303794</v>
      </c>
      <c r="G303" s="1129" t="s">
        <v>303</v>
      </c>
    </row>
    <row r="304" spans="3:7" x14ac:dyDescent="0.25">
      <c r="D304" s="39" t="s">
        <v>299</v>
      </c>
      <c r="E304" s="925"/>
      <c r="F304" s="1252"/>
      <c r="G304" s="1129"/>
    </row>
    <row r="306" spans="3:9" x14ac:dyDescent="0.25">
      <c r="C306" s="20" t="s">
        <v>296</v>
      </c>
    </row>
    <row r="308" spans="3:9" x14ac:dyDescent="0.25">
      <c r="C308" s="119">
        <f>(5+1)/15.8</f>
        <v>0.37974683544303794</v>
      </c>
      <c r="D308" s="114" t="s">
        <v>304</v>
      </c>
      <c r="E308" s="20">
        <v>40</v>
      </c>
      <c r="F308" s="118" t="s">
        <v>16</v>
      </c>
      <c r="G308" s="20" t="s">
        <v>42</v>
      </c>
      <c r="H308" s="120">
        <f>SUM(C308*E308)</f>
        <v>15.189873417721518</v>
      </c>
      <c r="I308" s="114" t="s">
        <v>300</v>
      </c>
    </row>
    <row r="309" spans="3:9" x14ac:dyDescent="0.25">
      <c r="D309" s="119"/>
      <c r="E309" s="114"/>
      <c r="I309" s="114"/>
    </row>
    <row r="311" spans="3:9" x14ac:dyDescent="0.25">
      <c r="C311" s="121" t="s">
        <v>305</v>
      </c>
    </row>
    <row r="313" spans="3:9" x14ac:dyDescent="0.25">
      <c r="C313" s="20" t="s">
        <v>313</v>
      </c>
    </row>
    <row r="314" spans="3:9" x14ac:dyDescent="0.25">
      <c r="C314" s="20" t="s">
        <v>314</v>
      </c>
    </row>
    <row r="315" spans="3:9" x14ac:dyDescent="0.25">
      <c r="C315" s="20" t="s">
        <v>315</v>
      </c>
    </row>
    <row r="317" spans="3:9" x14ac:dyDescent="0.25">
      <c r="C317" s="20" t="s">
        <v>306</v>
      </c>
    </row>
    <row r="318" spans="3:9" x14ac:dyDescent="0.25">
      <c r="C318" s="20" t="s">
        <v>307</v>
      </c>
    </row>
    <row r="319" spans="3:9" x14ac:dyDescent="0.25">
      <c r="C319" s="20" t="s">
        <v>308</v>
      </c>
    </row>
    <row r="320" spans="3:9" x14ac:dyDescent="0.25">
      <c r="C320" s="20" t="s">
        <v>309</v>
      </c>
    </row>
    <row r="321" spans="3:9" x14ac:dyDescent="0.25">
      <c r="C321" s="20" t="s">
        <v>310</v>
      </c>
    </row>
    <row r="322" spans="3:9" x14ac:dyDescent="0.25">
      <c r="C322" s="20" t="s">
        <v>311</v>
      </c>
    </row>
    <row r="323" spans="3:9" x14ac:dyDescent="0.25">
      <c r="C323" s="20" t="s">
        <v>312</v>
      </c>
    </row>
    <row r="324" spans="3:9" x14ac:dyDescent="0.25">
      <c r="C324" s="20" t="s">
        <v>316</v>
      </c>
      <c r="F324" s="20" t="s">
        <v>317</v>
      </c>
    </row>
    <row r="325" spans="3:9" x14ac:dyDescent="0.25">
      <c r="C325" s="20" t="s">
        <v>318</v>
      </c>
      <c r="F325" s="20" t="s">
        <v>319</v>
      </c>
    </row>
    <row r="326" spans="3:9" x14ac:dyDescent="0.25">
      <c r="C326" s="20" t="s">
        <v>320</v>
      </c>
      <c r="F326" s="20" t="s">
        <v>321</v>
      </c>
    </row>
    <row r="328" spans="3:9" x14ac:dyDescent="0.25">
      <c r="C328" s="925" t="s">
        <v>322</v>
      </c>
      <c r="D328" s="925"/>
      <c r="F328" s="67">
        <v>18000</v>
      </c>
      <c r="G328" s="925" t="s">
        <v>42</v>
      </c>
      <c r="H328" s="1252">
        <f>1800/183.5</f>
        <v>9.8092643051771109</v>
      </c>
      <c r="I328" s="925" t="s">
        <v>324</v>
      </c>
    </row>
    <row r="329" spans="3:9" x14ac:dyDescent="0.25">
      <c r="C329" s="925"/>
      <c r="D329" s="925"/>
      <c r="F329" s="39" t="s">
        <v>323</v>
      </c>
      <c r="G329" s="925"/>
      <c r="H329" s="1252"/>
      <c r="I329" s="925"/>
    </row>
    <row r="332" spans="3:9" ht="18.75" x14ac:dyDescent="0.25">
      <c r="D332" s="1126" t="s">
        <v>326</v>
      </c>
      <c r="E332" s="1126"/>
      <c r="F332" s="1126"/>
      <c r="G332" s="1126"/>
    </row>
    <row r="334" spans="3:9" ht="15.75" x14ac:dyDescent="0.25">
      <c r="D334" s="1140" t="s">
        <v>358</v>
      </c>
      <c r="E334" s="1140"/>
      <c r="F334" s="1140"/>
    </row>
    <row r="335" spans="3:9" ht="15.75" x14ac:dyDescent="0.25">
      <c r="C335" s="152" t="s">
        <v>359</v>
      </c>
    </row>
    <row r="337" spans="3:3" x14ac:dyDescent="0.25">
      <c r="C337" s="20" t="s">
        <v>360</v>
      </c>
    </row>
    <row r="339" spans="3:3" ht="15.75" x14ac:dyDescent="0.25">
      <c r="C339" s="152" t="s">
        <v>361</v>
      </c>
    </row>
    <row r="340" spans="3:3" ht="15.75" x14ac:dyDescent="0.25">
      <c r="C340" s="152"/>
    </row>
    <row r="341" spans="3:3" x14ac:dyDescent="0.25">
      <c r="C341" s="20" t="s">
        <v>366</v>
      </c>
    </row>
    <row r="342" spans="3:3" x14ac:dyDescent="0.25">
      <c r="C342" s="20" t="s">
        <v>367</v>
      </c>
    </row>
    <row r="344" spans="3:3" ht="15.75" x14ac:dyDescent="0.25">
      <c r="C344" s="152" t="s">
        <v>362</v>
      </c>
    </row>
    <row r="345" spans="3:3" ht="15.75" x14ac:dyDescent="0.25">
      <c r="C345" s="152"/>
    </row>
    <row r="346" spans="3:3" x14ac:dyDescent="0.25">
      <c r="C346" s="20" t="s">
        <v>363</v>
      </c>
    </row>
    <row r="347" spans="3:3" x14ac:dyDescent="0.25">
      <c r="C347" s="20" t="s">
        <v>368</v>
      </c>
    </row>
    <row r="348" spans="3:3" x14ac:dyDescent="0.25">
      <c r="C348" s="20" t="s">
        <v>369</v>
      </c>
    </row>
    <row r="349" spans="3:3" x14ac:dyDescent="0.25">
      <c r="C349" s="20" t="s">
        <v>370</v>
      </c>
    </row>
    <row r="350" spans="3:3" x14ac:dyDescent="0.25">
      <c r="C350" s="20" t="s">
        <v>371</v>
      </c>
    </row>
    <row r="351" spans="3:3" x14ac:dyDescent="0.25">
      <c r="C351" s="20" t="s">
        <v>372</v>
      </c>
    </row>
    <row r="352" spans="3:3" x14ac:dyDescent="0.25">
      <c r="C352" s="20" t="s">
        <v>373</v>
      </c>
    </row>
    <row r="353" spans="2:8" x14ac:dyDescent="0.25">
      <c r="C353" s="20" t="s">
        <v>374</v>
      </c>
    </row>
    <row r="355" spans="2:8" x14ac:dyDescent="0.25">
      <c r="C355" s="20" t="s">
        <v>364</v>
      </c>
    </row>
    <row r="358" spans="2:8" x14ac:dyDescent="0.25">
      <c r="B358" s="20" t="s">
        <v>365</v>
      </c>
    </row>
    <row r="359" spans="2:8" ht="15.75" thickBot="1" x14ac:dyDescent="0.3"/>
    <row r="360" spans="2:8" ht="15.75" thickBot="1" x14ac:dyDescent="0.3">
      <c r="B360"/>
      <c r="C360" s="1249" t="s">
        <v>327</v>
      </c>
      <c r="D360" s="1250"/>
      <c r="E360" s="1250"/>
      <c r="F360" s="1250"/>
      <c r="G360" s="1251"/>
      <c r="H360"/>
    </row>
    <row r="361" spans="2:8" ht="15.75" thickBot="1" x14ac:dyDescent="0.3">
      <c r="B361"/>
      <c r="C361"/>
      <c r="D361"/>
      <c r="E361"/>
      <c r="F361"/>
      <c r="G361"/>
      <c r="H361"/>
    </row>
    <row r="362" spans="2:8" x14ac:dyDescent="0.25">
      <c r="B362" s="1258" t="s">
        <v>328</v>
      </c>
      <c r="C362" s="1259"/>
      <c r="D362" s="1259"/>
      <c r="E362" s="1259"/>
      <c r="F362" s="1260"/>
      <c r="G362" s="122" t="s">
        <v>329</v>
      </c>
      <c r="H362" s="123"/>
    </row>
    <row r="363" spans="2:8" ht="15.75" thickBot="1" x14ac:dyDescent="0.3">
      <c r="B363" s="1261" t="s">
        <v>330</v>
      </c>
      <c r="C363" s="1262"/>
      <c r="D363" s="1262"/>
      <c r="E363" s="1262"/>
      <c r="F363" s="1262"/>
      <c r="G363" s="1262"/>
      <c r="H363" s="1263"/>
    </row>
    <row r="364" spans="2:8" ht="15.75" thickBot="1" x14ac:dyDescent="0.3">
      <c r="B364" s="1264" t="s">
        <v>331</v>
      </c>
      <c r="C364" s="1265"/>
      <c r="D364" s="1266"/>
      <c r="E364" s="124">
        <v>1</v>
      </c>
      <c r="F364" s="125"/>
      <c r="G364" s="126"/>
      <c r="H364" s="127"/>
    </row>
    <row r="365" spans="2:8" ht="15.75" thickBot="1" x14ac:dyDescent="0.3">
      <c r="B365" s="1264" t="s">
        <v>332</v>
      </c>
      <c r="C365" s="1265"/>
      <c r="D365" s="1267"/>
      <c r="E365" s="128">
        <v>825</v>
      </c>
      <c r="F365" s="125"/>
      <c r="G365" s="126"/>
      <c r="H365" s="127"/>
    </row>
    <row r="366" spans="2:8" ht="18.75" x14ac:dyDescent="0.3">
      <c r="B366" s="1149" t="s">
        <v>333</v>
      </c>
      <c r="C366" s="1151" t="s">
        <v>163</v>
      </c>
      <c r="D366" s="1153" t="s">
        <v>334</v>
      </c>
      <c r="E366" s="1155" t="s">
        <v>335</v>
      </c>
      <c r="F366" s="1157" t="s">
        <v>336</v>
      </c>
      <c r="G366" s="1158"/>
      <c r="H366" s="1159"/>
    </row>
    <row r="367" spans="2:8" ht="15.75" x14ac:dyDescent="0.25">
      <c r="B367" s="1150"/>
      <c r="C367" s="1152"/>
      <c r="D367" s="1154"/>
      <c r="E367" s="1156"/>
      <c r="F367" s="132" t="s">
        <v>150</v>
      </c>
      <c r="G367" s="132" t="s">
        <v>337</v>
      </c>
      <c r="H367" s="133" t="s">
        <v>338</v>
      </c>
    </row>
    <row r="368" spans="2:8" ht="18.75" x14ac:dyDescent="0.25">
      <c r="B368" s="134" t="s">
        <v>339</v>
      </c>
      <c r="C368" s="129"/>
      <c r="D368" s="130"/>
      <c r="E368" s="131"/>
      <c r="F368" s="132"/>
      <c r="G368" s="132"/>
      <c r="H368" s="133"/>
    </row>
    <row r="369" spans="2:8" x14ac:dyDescent="0.25">
      <c r="B369" s="135" t="s">
        <v>340</v>
      </c>
      <c r="C369" s="136" t="s">
        <v>290</v>
      </c>
      <c r="D369" s="137"/>
      <c r="E369" s="136"/>
      <c r="F369" s="145">
        <f>E369*D369</f>
        <v>0</v>
      </c>
      <c r="G369" s="136"/>
      <c r="H369" s="138"/>
    </row>
    <row r="370" spans="2:8" x14ac:dyDescent="0.25">
      <c r="B370" s="135"/>
      <c r="C370" s="136"/>
      <c r="D370" s="136"/>
      <c r="E370" s="136"/>
      <c r="F370" s="145"/>
      <c r="G370" s="136"/>
      <c r="H370" s="138"/>
    </row>
    <row r="371" spans="2:8" x14ac:dyDescent="0.25">
      <c r="B371" s="135" t="s">
        <v>341</v>
      </c>
      <c r="C371" s="136" t="s">
        <v>12</v>
      </c>
      <c r="D371" s="136"/>
      <c r="E371" s="136"/>
      <c r="F371" s="145">
        <f>E371*D371</f>
        <v>0</v>
      </c>
      <c r="G371" s="136"/>
      <c r="H371" s="138"/>
    </row>
    <row r="372" spans="2:8" x14ac:dyDescent="0.25">
      <c r="B372" s="135" t="s">
        <v>342</v>
      </c>
      <c r="C372" s="136" t="s">
        <v>11</v>
      </c>
      <c r="D372" s="145">
        <v>25</v>
      </c>
      <c r="E372" s="145">
        <v>60</v>
      </c>
      <c r="F372" s="145">
        <f>D372*E372</f>
        <v>1500</v>
      </c>
      <c r="G372" s="136"/>
      <c r="H372" s="138"/>
    </row>
    <row r="373" spans="2:8" x14ac:dyDescent="0.25">
      <c r="B373" s="135" t="s">
        <v>343</v>
      </c>
      <c r="C373" s="136" t="s">
        <v>14</v>
      </c>
      <c r="D373" s="136"/>
      <c r="E373" s="136"/>
      <c r="F373" s="136"/>
      <c r="G373" s="136"/>
      <c r="H373" s="138"/>
    </row>
    <row r="374" spans="2:8" x14ac:dyDescent="0.25">
      <c r="B374" s="135" t="s">
        <v>344</v>
      </c>
      <c r="C374" s="136"/>
      <c r="D374" s="136"/>
      <c r="E374" s="136"/>
      <c r="F374" s="136"/>
      <c r="G374" s="136"/>
      <c r="H374" s="138"/>
    </row>
    <row r="375" spans="2:8" x14ac:dyDescent="0.25">
      <c r="B375" s="135"/>
      <c r="C375" s="136"/>
      <c r="D375" s="136"/>
      <c r="E375" s="136"/>
      <c r="F375" s="136"/>
      <c r="G375" s="136"/>
      <c r="H375" s="138"/>
    </row>
    <row r="376" spans="2:8" x14ac:dyDescent="0.25">
      <c r="B376" s="135"/>
      <c r="C376" s="136"/>
      <c r="D376" s="136"/>
      <c r="E376" s="136"/>
      <c r="F376" s="136"/>
      <c r="G376" s="136"/>
      <c r="H376" s="138"/>
    </row>
    <row r="377" spans="2:8" ht="15.75" x14ac:dyDescent="0.25">
      <c r="B377" s="134" t="s">
        <v>345</v>
      </c>
      <c r="C377" s="136" t="s">
        <v>86</v>
      </c>
      <c r="D377" s="136"/>
      <c r="E377" s="136"/>
      <c r="F377" s="136"/>
      <c r="G377" s="136"/>
      <c r="H377" s="138"/>
    </row>
    <row r="378" spans="2:8" x14ac:dyDescent="0.25">
      <c r="B378" s="135"/>
      <c r="C378" s="136"/>
      <c r="D378" s="136"/>
      <c r="E378" s="136"/>
      <c r="F378" s="136"/>
      <c r="G378" s="136"/>
      <c r="H378" s="138"/>
    </row>
    <row r="379" spans="2:8" ht="15.75" x14ac:dyDescent="0.25">
      <c r="B379" s="134" t="s">
        <v>346</v>
      </c>
      <c r="C379" s="136" t="s">
        <v>3</v>
      </c>
      <c r="D379" s="136"/>
      <c r="E379" s="136"/>
      <c r="F379" s="136"/>
      <c r="G379" s="136"/>
      <c r="H379" s="138"/>
    </row>
    <row r="380" spans="2:8" ht="15.75" thickBot="1" x14ac:dyDescent="0.3">
      <c r="B380" s="135"/>
      <c r="C380" s="136"/>
      <c r="D380" s="136"/>
      <c r="E380" s="136"/>
      <c r="F380" s="139"/>
      <c r="G380" s="139"/>
      <c r="H380" s="140"/>
    </row>
    <row r="381" spans="2:8" ht="15.75" thickBot="1" x14ac:dyDescent="0.3">
      <c r="B381" s="1271" t="s">
        <v>347</v>
      </c>
      <c r="C381" s="1272"/>
      <c r="D381" s="1272"/>
      <c r="E381" s="1272"/>
      <c r="F381" s="146">
        <f>SUM(F368:F373)</f>
        <v>1500</v>
      </c>
      <c r="G381" s="146">
        <f>G377</f>
        <v>0</v>
      </c>
      <c r="H381" s="146">
        <f>H379</f>
        <v>0</v>
      </c>
    </row>
    <row r="382" spans="2:8" ht="15.75" thickBot="1" x14ac:dyDescent="0.3">
      <c r="B382" s="1273" t="s">
        <v>348</v>
      </c>
      <c r="C382" s="1274"/>
      <c r="D382" s="1274"/>
      <c r="E382" s="1274"/>
      <c r="F382" s="1274"/>
      <c r="G382" s="1274"/>
      <c r="H382" s="146">
        <f>SUM(F381,G381,H381)</f>
        <v>1500</v>
      </c>
    </row>
    <row r="383" spans="2:8" ht="15.75" thickBot="1" x14ac:dyDescent="0.3">
      <c r="B383" s="1275" t="s">
        <v>349</v>
      </c>
      <c r="C383" s="1272"/>
      <c r="D383" s="1272"/>
      <c r="E383" s="1272"/>
      <c r="F383" s="1272"/>
      <c r="G383" s="1276"/>
      <c r="H383" s="146">
        <f>H382*E364</f>
        <v>1500</v>
      </c>
    </row>
    <row r="384" spans="2:8" ht="15.75" thickBot="1" x14ac:dyDescent="0.3">
      <c r="B384" s="1246" t="s">
        <v>350</v>
      </c>
      <c r="C384" s="1247"/>
      <c r="D384" s="1247"/>
      <c r="E384" s="1247"/>
      <c r="F384" s="1247"/>
      <c r="G384" s="1248"/>
      <c r="H384" s="147">
        <f>ROUND(H383/E365,2)</f>
        <v>1.82</v>
      </c>
    </row>
    <row r="385" spans="2:8" ht="15.75" thickBot="1" x14ac:dyDescent="0.3">
      <c r="B385" s="1249" t="s">
        <v>351</v>
      </c>
      <c r="C385" s="1250"/>
      <c r="D385" s="1250"/>
      <c r="E385" s="1250"/>
      <c r="F385" s="1250"/>
      <c r="G385" s="1250"/>
      <c r="H385" s="1251"/>
    </row>
    <row r="386" spans="2:8" ht="18.75" x14ac:dyDescent="0.3">
      <c r="B386" s="1149" t="s">
        <v>333</v>
      </c>
      <c r="C386" s="1151" t="s">
        <v>163</v>
      </c>
      <c r="D386" s="1153" t="s">
        <v>334</v>
      </c>
      <c r="E386" s="1155" t="s">
        <v>335</v>
      </c>
      <c r="F386" s="1157" t="s">
        <v>336</v>
      </c>
      <c r="G386" s="1158"/>
      <c r="H386" s="1159"/>
    </row>
    <row r="387" spans="2:8" ht="15.75" x14ac:dyDescent="0.25">
      <c r="B387" s="1150"/>
      <c r="C387" s="1152"/>
      <c r="D387" s="1154"/>
      <c r="E387" s="1156"/>
      <c r="F387" s="132" t="s">
        <v>150</v>
      </c>
      <c r="G387" s="132" t="s">
        <v>337</v>
      </c>
      <c r="H387" s="133" t="s">
        <v>170</v>
      </c>
    </row>
    <row r="388" spans="2:8" ht="15.75" x14ac:dyDescent="0.25">
      <c r="B388" s="134" t="s">
        <v>339</v>
      </c>
      <c r="C388" s="137"/>
      <c r="D388" s="137"/>
      <c r="E388" s="137"/>
      <c r="F388" s="137"/>
      <c r="G388" s="137"/>
      <c r="H388" s="138"/>
    </row>
    <row r="389" spans="2:8" ht="15.75" x14ac:dyDescent="0.25">
      <c r="B389" s="134" t="s">
        <v>352</v>
      </c>
      <c r="C389" s="137" t="s">
        <v>12</v>
      </c>
      <c r="D389" s="137">
        <v>7.0000000000000007E-2</v>
      </c>
      <c r="E389" s="148">
        <v>2.4</v>
      </c>
      <c r="F389" s="148">
        <f>D389*E389</f>
        <v>0.16800000000000001</v>
      </c>
      <c r="G389" s="137"/>
      <c r="H389" s="138"/>
    </row>
    <row r="390" spans="2:8" ht="15.75" x14ac:dyDescent="0.25">
      <c r="B390" s="134"/>
      <c r="C390" s="137"/>
      <c r="D390" s="137"/>
      <c r="E390" s="137"/>
      <c r="F390" s="137"/>
      <c r="G390" s="137"/>
      <c r="H390" s="141"/>
    </row>
    <row r="391" spans="2:8" ht="15.75" x14ac:dyDescent="0.25">
      <c r="B391" s="134" t="s">
        <v>345</v>
      </c>
      <c r="C391" s="137" t="s">
        <v>353</v>
      </c>
      <c r="D391" s="137">
        <v>0.4</v>
      </c>
      <c r="E391" s="137">
        <v>16.8</v>
      </c>
      <c r="F391" s="137"/>
      <c r="G391" s="137">
        <f>D391*E391</f>
        <v>6.7200000000000006</v>
      </c>
      <c r="H391" s="141"/>
    </row>
    <row r="392" spans="2:8" ht="15.75" x14ac:dyDescent="0.25">
      <c r="B392" s="134"/>
      <c r="C392" s="137"/>
      <c r="D392" s="137"/>
      <c r="E392" s="137"/>
      <c r="F392" s="137"/>
      <c r="G392" s="137"/>
      <c r="H392" s="141"/>
    </row>
    <row r="393" spans="2:8" ht="15.75" x14ac:dyDescent="0.25">
      <c r="B393" s="134"/>
      <c r="C393" s="137"/>
      <c r="D393" s="137"/>
      <c r="E393" s="137"/>
      <c r="F393" s="137"/>
      <c r="G393" s="137"/>
      <c r="H393" s="141"/>
    </row>
    <row r="394" spans="2:8" ht="16.5" thickBot="1" x14ac:dyDescent="0.3">
      <c r="B394" s="134" t="s">
        <v>354</v>
      </c>
      <c r="C394" s="142" t="s">
        <v>3</v>
      </c>
      <c r="D394" s="142"/>
      <c r="E394" s="142"/>
      <c r="F394" s="143"/>
      <c r="G394" s="143"/>
      <c r="H394" s="149">
        <f>E394</f>
        <v>0</v>
      </c>
    </row>
    <row r="395" spans="2:8" ht="16.5" thickBot="1" x14ac:dyDescent="0.3">
      <c r="B395" s="1160" t="s">
        <v>355</v>
      </c>
      <c r="C395" s="1161"/>
      <c r="D395" s="1161"/>
      <c r="E395" s="1162"/>
      <c r="F395" s="146">
        <f>F389</f>
        <v>0.16800000000000001</v>
      </c>
      <c r="G395" s="144">
        <f>G391</f>
        <v>6.7200000000000006</v>
      </c>
      <c r="H395" s="150">
        <f>H394</f>
        <v>0</v>
      </c>
    </row>
    <row r="396" spans="2:8" ht="16.5" thickBot="1" x14ac:dyDescent="0.3">
      <c r="B396" s="1163" t="s">
        <v>356</v>
      </c>
      <c r="C396" s="1164"/>
      <c r="D396" s="1164"/>
      <c r="E396" s="1164"/>
      <c r="F396" s="1165"/>
      <c r="G396" s="1166"/>
      <c r="H396" s="150">
        <f>F395+G395+H395</f>
        <v>6.8880000000000008</v>
      </c>
    </row>
    <row r="397" spans="2:8" ht="16.5" thickBot="1" x14ac:dyDescent="0.3">
      <c r="B397" s="1268" t="s">
        <v>357</v>
      </c>
      <c r="C397" s="1269"/>
      <c r="D397" s="1269"/>
      <c r="E397" s="1269"/>
      <c r="F397" s="1269"/>
      <c r="G397" s="1270"/>
      <c r="H397" s="151">
        <f>H396+H384</f>
        <v>8.7080000000000002</v>
      </c>
    </row>
    <row r="400" spans="2:8" ht="18.75" x14ac:dyDescent="0.25">
      <c r="D400" s="1126" t="s">
        <v>375</v>
      </c>
      <c r="E400" s="1126"/>
      <c r="F400" s="1126"/>
      <c r="G400" s="1126"/>
    </row>
    <row r="402" spans="3:4" x14ac:dyDescent="0.25">
      <c r="C402" s="20" t="s">
        <v>376</v>
      </c>
    </row>
    <row r="404" spans="3:4" ht="15.75" x14ac:dyDescent="0.25">
      <c r="C404" s="152" t="s">
        <v>377</v>
      </c>
    </row>
    <row r="406" spans="3:4" x14ac:dyDescent="0.25">
      <c r="C406" s="20" t="s">
        <v>378</v>
      </c>
    </row>
    <row r="407" spans="3:4" x14ac:dyDescent="0.25">
      <c r="D407" s="20" t="s">
        <v>384</v>
      </c>
    </row>
    <row r="408" spans="3:4" x14ac:dyDescent="0.25">
      <c r="D408" s="20" t="s">
        <v>385</v>
      </c>
    </row>
    <row r="409" spans="3:4" x14ac:dyDescent="0.25">
      <c r="D409" s="20" t="s">
        <v>386</v>
      </c>
    </row>
    <row r="410" spans="3:4" x14ac:dyDescent="0.25">
      <c r="D410" s="20" t="s">
        <v>387</v>
      </c>
    </row>
    <row r="411" spans="3:4" x14ac:dyDescent="0.25">
      <c r="D411" s="20" t="s">
        <v>388</v>
      </c>
    </row>
    <row r="412" spans="3:4" x14ac:dyDescent="0.25">
      <c r="D412" s="20" t="s">
        <v>389</v>
      </c>
    </row>
    <row r="413" spans="3:4" x14ac:dyDescent="0.25">
      <c r="D413" s="20" t="s">
        <v>390</v>
      </c>
    </row>
    <row r="414" spans="3:4" x14ac:dyDescent="0.25">
      <c r="D414" s="20" t="s">
        <v>391</v>
      </c>
    </row>
    <row r="415" spans="3:4" x14ac:dyDescent="0.25">
      <c r="D415" s="20" t="s">
        <v>392</v>
      </c>
    </row>
    <row r="416" spans="3:4" x14ac:dyDescent="0.25">
      <c r="D416" s="20" t="s">
        <v>393</v>
      </c>
    </row>
    <row r="417" spans="3:4" x14ac:dyDescent="0.25">
      <c r="D417" s="20" t="s">
        <v>394</v>
      </c>
    </row>
    <row r="419" spans="3:4" x14ac:dyDescent="0.25">
      <c r="C419" s="20" t="s">
        <v>379</v>
      </c>
    </row>
    <row r="421" spans="3:4" x14ac:dyDescent="0.25">
      <c r="C421" s="20" t="s">
        <v>396</v>
      </c>
    </row>
    <row r="422" spans="3:4" x14ac:dyDescent="0.25">
      <c r="C422" s="20" t="s">
        <v>395</v>
      </c>
    </row>
    <row r="424" spans="3:4" x14ac:dyDescent="0.25">
      <c r="C424" s="20" t="s">
        <v>380</v>
      </c>
    </row>
    <row r="425" spans="3:4" x14ac:dyDescent="0.25">
      <c r="D425" s="20" t="s">
        <v>381</v>
      </c>
    </row>
    <row r="426" spans="3:4" x14ac:dyDescent="0.25">
      <c r="D426" s="20" t="s">
        <v>382</v>
      </c>
    </row>
    <row r="427" spans="3:4" x14ac:dyDescent="0.25">
      <c r="D427" s="20" t="s">
        <v>383</v>
      </c>
    </row>
    <row r="430" spans="3:4" x14ac:dyDescent="0.25">
      <c r="C430" s="20" t="s">
        <v>404</v>
      </c>
    </row>
    <row r="431" spans="3:4" x14ac:dyDescent="0.25">
      <c r="D431" s="20" t="s">
        <v>405</v>
      </c>
    </row>
    <row r="432" spans="3:4" x14ac:dyDescent="0.25">
      <c r="D432" s="20" t="s">
        <v>406</v>
      </c>
    </row>
    <row r="433" spans="3:6" x14ac:dyDescent="0.25">
      <c r="C433" s="87"/>
      <c r="D433" s="87"/>
      <c r="E433" s="87"/>
      <c r="F433" s="87"/>
    </row>
    <row r="434" spans="3:6" ht="45" x14ac:dyDescent="0.25">
      <c r="C434" s="153" t="s">
        <v>397</v>
      </c>
      <c r="D434" s="153" t="s">
        <v>398</v>
      </c>
      <c r="E434" s="153" t="s">
        <v>67</v>
      </c>
      <c r="F434" s="153" t="s">
        <v>398</v>
      </c>
    </row>
    <row r="435" spans="3:6" ht="30" x14ac:dyDescent="0.25">
      <c r="C435" s="154" t="s">
        <v>399</v>
      </c>
      <c r="D435" s="154" t="s">
        <v>400</v>
      </c>
      <c r="E435" s="154" t="s">
        <v>401</v>
      </c>
      <c r="F435" s="154" t="s">
        <v>402</v>
      </c>
    </row>
    <row r="436" spans="3:6" x14ac:dyDescent="0.25">
      <c r="C436" s="155" t="s">
        <v>403</v>
      </c>
      <c r="D436" s="155" t="s">
        <v>169</v>
      </c>
      <c r="E436" s="156"/>
      <c r="F436" s="155" t="s">
        <v>169</v>
      </c>
    </row>
    <row r="437" spans="3:6" x14ac:dyDescent="0.25">
      <c r="C437" s="157">
        <v>3</v>
      </c>
      <c r="D437" s="158">
        <v>33.33</v>
      </c>
      <c r="E437" s="159">
        <v>1.5</v>
      </c>
      <c r="F437" s="157">
        <v>50</v>
      </c>
    </row>
    <row r="438" spans="3:6" x14ac:dyDescent="0.25">
      <c r="C438" s="157">
        <v>4</v>
      </c>
      <c r="D438" s="157">
        <v>25</v>
      </c>
      <c r="E438" s="159">
        <v>1.5</v>
      </c>
      <c r="F438" s="159">
        <v>37.5</v>
      </c>
    </row>
    <row r="439" spans="3:6" x14ac:dyDescent="0.25">
      <c r="C439" s="157">
        <v>5</v>
      </c>
      <c r="D439" s="157">
        <v>20</v>
      </c>
      <c r="E439" s="157">
        <v>2</v>
      </c>
      <c r="F439" s="157">
        <v>40</v>
      </c>
    </row>
    <row r="440" spans="3:6" x14ac:dyDescent="0.25">
      <c r="C440" s="157">
        <v>6</v>
      </c>
      <c r="D440" s="158">
        <v>16.670000000000002</v>
      </c>
      <c r="E440" s="157">
        <v>2</v>
      </c>
      <c r="F440" s="158">
        <v>33.33</v>
      </c>
    </row>
    <row r="441" spans="3:6" x14ac:dyDescent="0.25">
      <c r="C441" s="157">
        <v>7</v>
      </c>
      <c r="D441" s="158">
        <v>14.29</v>
      </c>
      <c r="E441" s="159">
        <v>2.5</v>
      </c>
      <c r="F441" s="159">
        <v>35.700000000000003</v>
      </c>
    </row>
    <row r="442" spans="3:6" x14ac:dyDescent="0.25">
      <c r="C442" s="157">
        <v>8</v>
      </c>
      <c r="D442" s="159">
        <v>12.5</v>
      </c>
      <c r="E442" s="159">
        <v>2.5</v>
      </c>
      <c r="F442" s="158">
        <v>31.25</v>
      </c>
    </row>
    <row r="443" spans="3:6" x14ac:dyDescent="0.25">
      <c r="C443" s="157">
        <v>10</v>
      </c>
      <c r="D443" s="157">
        <v>10</v>
      </c>
      <c r="E443" s="159">
        <v>2.5</v>
      </c>
      <c r="F443" s="157">
        <v>25</v>
      </c>
    </row>
    <row r="444" spans="3:6" x14ac:dyDescent="0.25">
      <c r="C444" s="157">
        <v>12</v>
      </c>
      <c r="D444" s="158">
        <v>8.33</v>
      </c>
      <c r="E444" s="159">
        <v>2.5</v>
      </c>
      <c r="F444" s="158">
        <v>20.83</v>
      </c>
    </row>
    <row r="445" spans="3:6" x14ac:dyDescent="0.25">
      <c r="C445" s="157">
        <v>15</v>
      </c>
      <c r="D445" s="158">
        <v>6.67</v>
      </c>
      <c r="E445" s="159">
        <v>2.5</v>
      </c>
      <c r="F445" s="158">
        <v>16.670000000000002</v>
      </c>
    </row>
    <row r="446" spans="3:6" x14ac:dyDescent="0.25">
      <c r="C446" s="157">
        <v>20</v>
      </c>
      <c r="D446" s="157">
        <v>5</v>
      </c>
      <c r="E446" s="159">
        <v>2.5</v>
      </c>
      <c r="F446" s="159">
        <v>12.5</v>
      </c>
    </row>
    <row r="449" spans="3:7" ht="15.75" x14ac:dyDescent="0.25">
      <c r="D449" s="1140" t="s">
        <v>407</v>
      </c>
      <c r="E449" s="1140"/>
      <c r="F449" s="1140"/>
    </row>
    <row r="451" spans="3:7" ht="15.75" x14ac:dyDescent="0.25">
      <c r="C451" s="152" t="s">
        <v>408</v>
      </c>
    </row>
    <row r="453" spans="3:7" x14ac:dyDescent="0.25">
      <c r="C453" s="20" t="s">
        <v>409</v>
      </c>
    </row>
    <row r="454" spans="3:7" x14ac:dyDescent="0.25">
      <c r="C454" s="20" t="s">
        <v>410</v>
      </c>
    </row>
    <row r="456" spans="3:7" x14ac:dyDescent="0.25">
      <c r="D456" s="67">
        <v>100</v>
      </c>
      <c r="E456" s="925" t="s">
        <v>42</v>
      </c>
      <c r="F456" s="925" t="s">
        <v>411</v>
      </c>
      <c r="G456" s="925"/>
    </row>
    <row r="457" spans="3:7" x14ac:dyDescent="0.25">
      <c r="D457" s="39">
        <v>5</v>
      </c>
      <c r="E457" s="925"/>
      <c r="F457" s="925"/>
      <c r="G457" s="925"/>
    </row>
    <row r="459" spans="3:7" ht="15.75" x14ac:dyDescent="0.25">
      <c r="C459" s="152" t="s">
        <v>412</v>
      </c>
    </row>
    <row r="461" spans="3:7" x14ac:dyDescent="0.25">
      <c r="C461" s="20" t="s">
        <v>413</v>
      </c>
    </row>
    <row r="463" spans="3:7" x14ac:dyDescent="0.25">
      <c r="C463" s="20" t="s">
        <v>414</v>
      </c>
    </row>
    <row r="465" spans="3:10" x14ac:dyDescent="0.25">
      <c r="D465" s="925" t="s">
        <v>418</v>
      </c>
      <c r="E465" s="925" t="s">
        <v>42</v>
      </c>
      <c r="F465" s="67" t="s">
        <v>13</v>
      </c>
      <c r="G465" s="925" t="s">
        <v>43</v>
      </c>
      <c r="H465" s="925" t="s">
        <v>419</v>
      </c>
      <c r="I465" s="114"/>
      <c r="J465" s="39"/>
    </row>
    <row r="466" spans="3:10" x14ac:dyDescent="0.25">
      <c r="D466" s="925"/>
      <c r="E466" s="925"/>
      <c r="F466" s="39">
        <v>2</v>
      </c>
      <c r="G466" s="925"/>
      <c r="H466" s="925"/>
      <c r="I466" s="114"/>
      <c r="J466" s="39"/>
    </row>
    <row r="467" spans="3:10" x14ac:dyDescent="0.25">
      <c r="E467" s="114"/>
    </row>
    <row r="468" spans="3:10" x14ac:dyDescent="0.25">
      <c r="C468" s="20" t="s">
        <v>415</v>
      </c>
    </row>
    <row r="470" spans="3:10" x14ac:dyDescent="0.25">
      <c r="D470" s="925" t="s">
        <v>418</v>
      </c>
      <c r="E470" s="925" t="s">
        <v>42</v>
      </c>
      <c r="F470" s="67">
        <v>10</v>
      </c>
      <c r="G470" s="925" t="s">
        <v>43</v>
      </c>
      <c r="H470" s="925" t="s">
        <v>420</v>
      </c>
      <c r="I470" s="925" t="s">
        <v>42</v>
      </c>
      <c r="J470" s="1148">
        <v>0.06</v>
      </c>
    </row>
    <row r="471" spans="3:10" x14ac:dyDescent="0.25">
      <c r="D471" s="925"/>
      <c r="E471" s="925"/>
      <c r="F471" s="39">
        <v>2</v>
      </c>
      <c r="G471" s="925"/>
      <c r="H471" s="925"/>
      <c r="I471" s="925"/>
      <c r="J471" s="925"/>
    </row>
    <row r="473" spans="3:10" x14ac:dyDescent="0.25">
      <c r="C473" s="20" t="s">
        <v>416</v>
      </c>
    </row>
    <row r="475" spans="3:10" x14ac:dyDescent="0.25">
      <c r="D475" s="20" t="s">
        <v>417</v>
      </c>
    </row>
    <row r="477" spans="3:10" ht="15.75" x14ac:dyDescent="0.25">
      <c r="C477" s="152" t="s">
        <v>421</v>
      </c>
    </row>
    <row r="478" spans="3:10" ht="15.75" x14ac:dyDescent="0.25">
      <c r="C478" s="152"/>
    </row>
    <row r="479" spans="3:10" x14ac:dyDescent="0.25">
      <c r="C479" s="20" t="s">
        <v>422</v>
      </c>
    </row>
    <row r="480" spans="3:10" x14ac:dyDescent="0.25">
      <c r="C480" s="20" t="s">
        <v>423</v>
      </c>
    </row>
    <row r="482" spans="3:8" x14ac:dyDescent="0.25">
      <c r="D482" s="20" t="s">
        <v>424</v>
      </c>
    </row>
    <row r="484" spans="3:8" ht="15.75" x14ac:dyDescent="0.25">
      <c r="C484" s="152" t="s">
        <v>425</v>
      </c>
    </row>
    <row r="485" spans="3:8" ht="15.75" x14ac:dyDescent="0.25">
      <c r="C485" s="152"/>
    </row>
    <row r="486" spans="3:8" x14ac:dyDescent="0.25">
      <c r="C486" s="20" t="s">
        <v>426</v>
      </c>
    </row>
    <row r="487" spans="3:8" x14ac:dyDescent="0.25">
      <c r="C487" s="20" t="s">
        <v>427</v>
      </c>
    </row>
    <row r="488" spans="3:8" x14ac:dyDescent="0.25">
      <c r="C488" s="20" t="s">
        <v>428</v>
      </c>
    </row>
    <row r="490" spans="3:8" x14ac:dyDescent="0.25">
      <c r="D490" s="67" t="s">
        <v>429</v>
      </c>
      <c r="E490" s="925" t="s">
        <v>42</v>
      </c>
      <c r="F490" s="160">
        <v>0.1</v>
      </c>
      <c r="G490" s="925" t="s">
        <v>42</v>
      </c>
      <c r="H490" s="1148">
        <v>0.02</v>
      </c>
    </row>
    <row r="491" spans="3:8" x14ac:dyDescent="0.25">
      <c r="D491" s="39" t="s">
        <v>430</v>
      </c>
      <c r="E491" s="925"/>
      <c r="F491" s="39">
        <v>5</v>
      </c>
      <c r="G491" s="925"/>
      <c r="H491" s="925"/>
    </row>
    <row r="493" spans="3:8" x14ac:dyDescent="0.25">
      <c r="C493" s="20" t="s">
        <v>431</v>
      </c>
    </row>
    <row r="495" spans="3:8" x14ac:dyDescent="0.25">
      <c r="D495" s="20" t="s">
        <v>432</v>
      </c>
    </row>
    <row r="498" spans="3:7" ht="15.75" x14ac:dyDescent="0.25">
      <c r="C498" s="152" t="s">
        <v>433</v>
      </c>
    </row>
    <row r="499" spans="3:7" ht="15.75" x14ac:dyDescent="0.25">
      <c r="C499" s="152"/>
    </row>
    <row r="500" spans="3:7" x14ac:dyDescent="0.25">
      <c r="C500" s="20" t="s">
        <v>434</v>
      </c>
    </row>
    <row r="502" spans="3:7" x14ac:dyDescent="0.25">
      <c r="D502" s="1147" t="s">
        <v>451</v>
      </c>
      <c r="E502" s="1147"/>
      <c r="F502" s="1147"/>
      <c r="G502" s="1147"/>
    </row>
    <row r="503" spans="3:7" x14ac:dyDescent="0.25">
      <c r="D503" s="1147"/>
      <c r="E503" s="1147"/>
      <c r="F503" s="1147"/>
      <c r="G503" s="1147"/>
    </row>
    <row r="505" spans="3:7" ht="15.75" x14ac:dyDescent="0.25">
      <c r="C505" s="20" t="s">
        <v>435</v>
      </c>
    </row>
    <row r="506" spans="3:7" ht="15.75" x14ac:dyDescent="0.25">
      <c r="C506" s="20" t="s">
        <v>436</v>
      </c>
    </row>
    <row r="507" spans="3:7" ht="15.75" x14ac:dyDescent="0.25">
      <c r="C507" s="20" t="s">
        <v>437</v>
      </c>
    </row>
    <row r="508" spans="3:7" ht="15.75" x14ac:dyDescent="0.25">
      <c r="C508" s="20" t="s">
        <v>438</v>
      </c>
    </row>
    <row r="509" spans="3:7" ht="15.75" x14ac:dyDescent="0.25">
      <c r="C509" s="20" t="s">
        <v>439</v>
      </c>
    </row>
    <row r="510" spans="3:7" ht="15.75" x14ac:dyDescent="0.25">
      <c r="C510" s="20" t="s">
        <v>440</v>
      </c>
    </row>
    <row r="513" spans="3:7" ht="15.75" x14ac:dyDescent="0.25">
      <c r="C513" s="152" t="s">
        <v>441</v>
      </c>
    </row>
    <row r="514" spans="3:7" ht="15.75" x14ac:dyDescent="0.25">
      <c r="C514" s="152"/>
    </row>
    <row r="515" spans="3:7" x14ac:dyDescent="0.25">
      <c r="C515" s="20" t="s">
        <v>442</v>
      </c>
    </row>
    <row r="516" spans="3:7" x14ac:dyDescent="0.25">
      <c r="C516" s="20" t="s">
        <v>443</v>
      </c>
    </row>
    <row r="517" spans="3:7" x14ac:dyDescent="0.25">
      <c r="C517" s="20" t="s">
        <v>444</v>
      </c>
    </row>
    <row r="518" spans="3:7" x14ac:dyDescent="0.25">
      <c r="C518" s="20" t="s">
        <v>445</v>
      </c>
    </row>
    <row r="519" spans="3:7" x14ac:dyDescent="0.25">
      <c r="C519" s="20" t="s">
        <v>446</v>
      </c>
    </row>
    <row r="520" spans="3:7" x14ac:dyDescent="0.25">
      <c r="C520" s="20" t="s">
        <v>447</v>
      </c>
    </row>
    <row r="521" spans="3:7" x14ac:dyDescent="0.25">
      <c r="C521" s="20" t="s">
        <v>448</v>
      </c>
    </row>
    <row r="524" spans="3:7" x14ac:dyDescent="0.25">
      <c r="D524" s="1147" t="s">
        <v>451</v>
      </c>
      <c r="E524" s="1147"/>
      <c r="F524" s="1147"/>
      <c r="G524" s="1147"/>
    </row>
    <row r="525" spans="3:7" x14ac:dyDescent="0.25">
      <c r="D525" s="1147"/>
      <c r="E525" s="1147"/>
      <c r="F525" s="1147"/>
      <c r="G525" s="1147"/>
    </row>
    <row r="527" spans="3:7" x14ac:dyDescent="0.25">
      <c r="C527" s="20" t="s">
        <v>449</v>
      </c>
    </row>
    <row r="529" spans="3:7" x14ac:dyDescent="0.25">
      <c r="D529" s="1147" t="s">
        <v>450</v>
      </c>
      <c r="E529" s="1147"/>
      <c r="F529" s="1147"/>
      <c r="G529" s="1147"/>
    </row>
    <row r="530" spans="3:7" x14ac:dyDescent="0.25">
      <c r="D530" s="1147"/>
      <c r="E530" s="1147"/>
      <c r="F530" s="1147"/>
      <c r="G530" s="1147"/>
    </row>
    <row r="532" spans="3:7" x14ac:dyDescent="0.25">
      <c r="C532" s="20" t="s">
        <v>452</v>
      </c>
    </row>
    <row r="534" spans="3:7" x14ac:dyDescent="0.25">
      <c r="D534" s="1147" t="s">
        <v>453</v>
      </c>
      <c r="E534" s="1147"/>
      <c r="F534" s="1147"/>
      <c r="G534" s="1147"/>
    </row>
    <row r="535" spans="3:7" x14ac:dyDescent="0.25">
      <c r="D535" s="1147"/>
      <c r="E535" s="1147"/>
      <c r="F535" s="1147"/>
      <c r="G535" s="1147"/>
    </row>
    <row r="537" spans="3:7" x14ac:dyDescent="0.25">
      <c r="D537" s="1147" t="s">
        <v>454</v>
      </c>
      <c r="E537" s="1147"/>
      <c r="F537" s="1147"/>
      <c r="G537" s="1147"/>
    </row>
    <row r="538" spans="3:7" x14ac:dyDescent="0.25">
      <c r="D538" s="1147"/>
      <c r="E538" s="1147"/>
      <c r="F538" s="1147"/>
      <c r="G538" s="1147"/>
    </row>
    <row r="540" spans="3:7" x14ac:dyDescent="0.25">
      <c r="C540" s="20" t="s">
        <v>455</v>
      </c>
    </row>
    <row r="542" spans="3:7" x14ac:dyDescent="0.25">
      <c r="D542" s="67">
        <v>16928.57</v>
      </c>
      <c r="E542" s="925" t="s">
        <v>42</v>
      </c>
      <c r="F542" s="925">
        <v>11.21</v>
      </c>
      <c r="G542" s="1129" t="s">
        <v>457</v>
      </c>
    </row>
    <row r="543" spans="3:7" x14ac:dyDescent="0.25">
      <c r="D543" s="39" t="s">
        <v>456</v>
      </c>
      <c r="E543" s="925"/>
      <c r="F543" s="925"/>
      <c r="G543" s="1129"/>
    </row>
    <row r="546" spans="3:7" ht="18.75" x14ac:dyDescent="0.25">
      <c r="D546" s="1126" t="s">
        <v>458</v>
      </c>
      <c r="E546" s="1126"/>
      <c r="F546" s="1126"/>
      <c r="G546" s="1126"/>
    </row>
    <row r="549" spans="3:7" ht="15.75" x14ac:dyDescent="0.25">
      <c r="D549" s="1140" t="s">
        <v>459</v>
      </c>
      <c r="E549" s="1140"/>
      <c r="F549" s="1140"/>
    </row>
    <row r="551" spans="3:7" ht="15.75" x14ac:dyDescent="0.25">
      <c r="D551" s="1144" t="s">
        <v>460</v>
      </c>
      <c r="E551" s="1144"/>
      <c r="F551" s="1144"/>
    </row>
    <row r="552" spans="3:7" ht="15.75" x14ac:dyDescent="0.25">
      <c r="C552" s="152"/>
    </row>
    <row r="553" spans="3:7" x14ac:dyDescent="0.25">
      <c r="C553" s="20" t="s">
        <v>461</v>
      </c>
    </row>
    <row r="555" spans="3:7" ht="15.75" x14ac:dyDescent="0.25">
      <c r="C555" s="152" t="s">
        <v>462</v>
      </c>
    </row>
    <row r="557" spans="3:7" ht="13.5" customHeight="1" x14ac:dyDescent="0.25">
      <c r="C557" s="20" t="s">
        <v>463</v>
      </c>
    </row>
    <row r="558" spans="3:7" x14ac:dyDescent="0.25">
      <c r="C558" s="20" t="s">
        <v>464</v>
      </c>
    </row>
    <row r="559" spans="3:7" x14ac:dyDescent="0.25">
      <c r="C559" s="20" t="s">
        <v>465</v>
      </c>
    </row>
    <row r="561" spans="3:6" ht="15.75" x14ac:dyDescent="0.25">
      <c r="C561" s="152" t="s">
        <v>466</v>
      </c>
    </row>
    <row r="563" spans="3:6" x14ac:dyDescent="0.25">
      <c r="C563" s="20" t="s">
        <v>467</v>
      </c>
    </row>
    <row r="564" spans="3:6" x14ac:dyDescent="0.25">
      <c r="D564" s="20" t="s">
        <v>478</v>
      </c>
    </row>
    <row r="565" spans="3:6" x14ac:dyDescent="0.25">
      <c r="D565" s="20" t="s">
        <v>479</v>
      </c>
    </row>
    <row r="567" spans="3:6" ht="15.75" x14ac:dyDescent="0.25">
      <c r="D567" s="1144" t="s">
        <v>468</v>
      </c>
      <c r="E567" s="1144"/>
      <c r="F567" s="1144"/>
    </row>
    <row r="568" spans="3:6" ht="15.75" x14ac:dyDescent="0.25">
      <c r="C568" s="152"/>
    </row>
    <row r="569" spans="3:6" ht="15.75" x14ac:dyDescent="0.25">
      <c r="D569" s="152" t="s">
        <v>469</v>
      </c>
    </row>
    <row r="570" spans="3:6" ht="15.75" x14ac:dyDescent="0.25">
      <c r="D570" s="152"/>
    </row>
    <row r="571" spans="3:6" x14ac:dyDescent="0.25">
      <c r="C571" s="20" t="s">
        <v>470</v>
      </c>
    </row>
    <row r="572" spans="3:6" x14ac:dyDescent="0.25">
      <c r="C572" s="20" t="s">
        <v>471</v>
      </c>
    </row>
    <row r="573" spans="3:6" x14ac:dyDescent="0.25">
      <c r="C573" s="20" t="s">
        <v>472</v>
      </c>
    </row>
    <row r="574" spans="3:6" x14ac:dyDescent="0.25">
      <c r="C574" s="20" t="s">
        <v>473</v>
      </c>
    </row>
    <row r="575" spans="3:6" x14ac:dyDescent="0.25">
      <c r="C575" s="20" t="s">
        <v>474</v>
      </c>
    </row>
    <row r="576" spans="3:6" x14ac:dyDescent="0.25">
      <c r="C576" s="20" t="s">
        <v>475</v>
      </c>
    </row>
    <row r="577" spans="3:7" x14ac:dyDescent="0.25">
      <c r="C577" s="20" t="s">
        <v>476</v>
      </c>
    </row>
    <row r="579" spans="3:7" x14ac:dyDescent="0.25">
      <c r="C579" s="20" t="s">
        <v>477</v>
      </c>
    </row>
    <row r="580" spans="3:7" x14ac:dyDescent="0.25">
      <c r="C580" s="20" t="s">
        <v>480</v>
      </c>
    </row>
    <row r="582" spans="3:7" x14ac:dyDescent="0.25">
      <c r="D582" s="1147" t="s">
        <v>451</v>
      </c>
      <c r="E582" s="1147"/>
      <c r="F582" s="1147"/>
      <c r="G582" s="1147"/>
    </row>
    <row r="583" spans="3:7" x14ac:dyDescent="0.25">
      <c r="D583" s="1147"/>
      <c r="E583" s="1147"/>
      <c r="F583" s="1147"/>
      <c r="G583" s="1147"/>
    </row>
    <row r="585" spans="3:7" x14ac:dyDescent="0.25">
      <c r="C585" s="20" t="s">
        <v>449</v>
      </c>
    </row>
    <row r="587" spans="3:7" x14ac:dyDescent="0.25">
      <c r="D587" s="1147" t="s">
        <v>481</v>
      </c>
      <c r="E587" s="1147"/>
      <c r="F587" s="1147"/>
      <c r="G587" s="1147"/>
    </row>
    <row r="588" spans="3:7" x14ac:dyDescent="0.25">
      <c r="D588" s="1147"/>
      <c r="E588" s="1147"/>
      <c r="F588" s="1147"/>
      <c r="G588" s="1147"/>
    </row>
    <row r="590" spans="3:7" x14ac:dyDescent="0.25">
      <c r="C590" s="20" t="s">
        <v>452</v>
      </c>
    </row>
    <row r="592" spans="3:7" x14ac:dyDescent="0.25">
      <c r="D592" s="1147" t="s">
        <v>482</v>
      </c>
      <c r="E592" s="1147"/>
      <c r="F592" s="1147"/>
      <c r="G592" s="1147"/>
    </row>
    <row r="593" spans="3:7" x14ac:dyDescent="0.25">
      <c r="D593" s="1147"/>
      <c r="E593" s="1147"/>
      <c r="F593" s="1147"/>
      <c r="G593" s="1147"/>
    </row>
    <row r="595" spans="3:7" x14ac:dyDescent="0.25">
      <c r="D595" s="1147" t="s">
        <v>483</v>
      </c>
      <c r="E595" s="1147"/>
      <c r="F595" s="1147"/>
      <c r="G595" s="1147"/>
    </row>
    <row r="596" spans="3:7" x14ac:dyDescent="0.25">
      <c r="D596" s="1147"/>
      <c r="E596" s="1147"/>
      <c r="F596" s="1147"/>
      <c r="G596" s="1147"/>
    </row>
    <row r="598" spans="3:7" x14ac:dyDescent="0.25">
      <c r="C598" s="20" t="s">
        <v>484</v>
      </c>
    </row>
    <row r="600" spans="3:7" x14ac:dyDescent="0.25">
      <c r="D600" s="67">
        <v>44800</v>
      </c>
      <c r="E600" s="925" t="s">
        <v>42</v>
      </c>
      <c r="F600" s="1145">
        <v>32</v>
      </c>
      <c r="G600" s="1129" t="s">
        <v>457</v>
      </c>
    </row>
    <row r="601" spans="3:7" x14ac:dyDescent="0.25">
      <c r="D601" s="39" t="s">
        <v>485</v>
      </c>
      <c r="E601" s="925"/>
      <c r="F601" s="1145"/>
      <c r="G601" s="1129"/>
    </row>
    <row r="604" spans="3:7" ht="15.75" x14ac:dyDescent="0.25">
      <c r="D604" s="152" t="s">
        <v>486</v>
      </c>
    </row>
    <row r="605" spans="3:7" ht="15.75" x14ac:dyDescent="0.25">
      <c r="D605" s="152"/>
    </row>
    <row r="606" spans="3:7" x14ac:dyDescent="0.25">
      <c r="C606" s="20" t="s">
        <v>487</v>
      </c>
    </row>
    <row r="607" spans="3:7" x14ac:dyDescent="0.25">
      <c r="C607" s="20" t="s">
        <v>488</v>
      </c>
    </row>
    <row r="608" spans="3:7" x14ac:dyDescent="0.25">
      <c r="C608" s="20" t="s">
        <v>489</v>
      </c>
    </row>
    <row r="610" spans="3:4" x14ac:dyDescent="0.25">
      <c r="D610" s="20" t="s">
        <v>490</v>
      </c>
    </row>
    <row r="612" spans="3:4" ht="15.75" x14ac:dyDescent="0.25">
      <c r="D612" s="152" t="s">
        <v>491</v>
      </c>
    </row>
    <row r="614" spans="3:4" x14ac:dyDescent="0.25">
      <c r="C614" s="20" t="s">
        <v>492</v>
      </c>
    </row>
    <row r="615" spans="3:4" x14ac:dyDescent="0.25">
      <c r="C615" s="20" t="s">
        <v>493</v>
      </c>
    </row>
    <row r="617" spans="3:4" x14ac:dyDescent="0.25">
      <c r="D617" s="20" t="s">
        <v>494</v>
      </c>
    </row>
    <row r="619" spans="3:4" ht="15.75" x14ac:dyDescent="0.25">
      <c r="D619" s="152" t="s">
        <v>495</v>
      </c>
    </row>
    <row r="621" spans="3:4" x14ac:dyDescent="0.25">
      <c r="C621" s="20" t="s">
        <v>496</v>
      </c>
    </row>
    <row r="622" spans="3:4" x14ac:dyDescent="0.25">
      <c r="C622" s="20" t="s">
        <v>497</v>
      </c>
    </row>
    <row r="624" spans="3:4" x14ac:dyDescent="0.25">
      <c r="D624" s="20" t="s">
        <v>498</v>
      </c>
    </row>
    <row r="626" spans="3:7" ht="15.75" x14ac:dyDescent="0.25">
      <c r="D626" s="152" t="s">
        <v>499</v>
      </c>
    </row>
    <row r="628" spans="3:7" x14ac:dyDescent="0.25">
      <c r="C628" s="20" t="s">
        <v>500</v>
      </c>
    </row>
    <row r="630" spans="3:7" x14ac:dyDescent="0.25">
      <c r="D630" s="67" t="s">
        <v>501</v>
      </c>
      <c r="E630" s="925" t="s">
        <v>42</v>
      </c>
      <c r="F630" s="1145">
        <v>9.14</v>
      </c>
      <c r="G630" s="1129" t="s">
        <v>457</v>
      </c>
    </row>
    <row r="631" spans="3:7" x14ac:dyDescent="0.25">
      <c r="D631" s="39" t="s">
        <v>502</v>
      </c>
      <c r="E631" s="925"/>
      <c r="F631" s="1145"/>
      <c r="G631" s="1129"/>
    </row>
    <row r="632" spans="3:7" x14ac:dyDescent="0.25">
      <c r="D632" s="41"/>
    </row>
    <row r="633" spans="3:7" x14ac:dyDescent="0.25">
      <c r="C633" s="20" t="s">
        <v>503</v>
      </c>
    </row>
    <row r="635" spans="3:7" ht="15.75" x14ac:dyDescent="0.25">
      <c r="D635" s="20" t="s">
        <v>504</v>
      </c>
    </row>
    <row r="638" spans="3:7" ht="15.75" x14ac:dyDescent="0.25">
      <c r="D638" s="1144" t="s">
        <v>505</v>
      </c>
      <c r="E638" s="1144"/>
      <c r="F638" s="1144"/>
    </row>
    <row r="640" spans="3:7" ht="15.75" x14ac:dyDescent="0.25">
      <c r="D640" s="152" t="s">
        <v>506</v>
      </c>
    </row>
    <row r="642" spans="3:7" x14ac:dyDescent="0.25">
      <c r="C642" s="20" t="s">
        <v>507</v>
      </c>
    </row>
    <row r="643" spans="3:7" x14ac:dyDescent="0.25">
      <c r="C643" s="20" t="s">
        <v>515</v>
      </c>
    </row>
    <row r="645" spans="3:7" x14ac:dyDescent="0.25">
      <c r="D645" s="67" t="s">
        <v>516</v>
      </c>
      <c r="E645" s="925" t="s">
        <v>42</v>
      </c>
      <c r="F645" s="1145">
        <v>0.21</v>
      </c>
      <c r="G645" s="1129" t="s">
        <v>517</v>
      </c>
    </row>
    <row r="646" spans="3:7" x14ac:dyDescent="0.25">
      <c r="D646" s="39">
        <v>100</v>
      </c>
      <c r="E646" s="925"/>
      <c r="F646" s="1145"/>
      <c r="G646" s="1129"/>
    </row>
    <row r="648" spans="3:7" ht="15.75" x14ac:dyDescent="0.25">
      <c r="D648" s="152" t="s">
        <v>508</v>
      </c>
    </row>
    <row r="650" spans="3:7" x14ac:dyDescent="0.25">
      <c r="C650" s="20" t="s">
        <v>509</v>
      </c>
    </row>
    <row r="651" spans="3:7" x14ac:dyDescent="0.25">
      <c r="C651" s="20" t="s">
        <v>518</v>
      </c>
    </row>
    <row r="653" spans="3:7" x14ac:dyDescent="0.25">
      <c r="D653" s="67" t="s">
        <v>519</v>
      </c>
      <c r="E653" s="925" t="s">
        <v>42</v>
      </c>
      <c r="F653" s="1145">
        <v>0.02</v>
      </c>
      <c r="G653" s="1129" t="s">
        <v>517</v>
      </c>
    </row>
    <row r="654" spans="3:7" x14ac:dyDescent="0.25">
      <c r="D654" s="39">
        <v>5000</v>
      </c>
      <c r="E654" s="925"/>
      <c r="F654" s="1145"/>
      <c r="G654" s="1129"/>
    </row>
    <row r="656" spans="3:7" ht="15.75" x14ac:dyDescent="0.25">
      <c r="D656" s="152" t="s">
        <v>510</v>
      </c>
    </row>
    <row r="658" spans="2:10" x14ac:dyDescent="0.25">
      <c r="C658" s="20" t="s">
        <v>511</v>
      </c>
    </row>
    <row r="659" spans="2:10" x14ac:dyDescent="0.25">
      <c r="C659" s="20" t="s">
        <v>512</v>
      </c>
    </row>
    <row r="660" spans="2:10" x14ac:dyDescent="0.25">
      <c r="C660" s="20" t="s">
        <v>520</v>
      </c>
    </row>
    <row r="661" spans="2:10" x14ac:dyDescent="0.25">
      <c r="C661" s="20" t="s">
        <v>521</v>
      </c>
    </row>
    <row r="663" spans="2:10" x14ac:dyDescent="0.25">
      <c r="D663" s="67" t="s">
        <v>522</v>
      </c>
      <c r="E663" s="925" t="s">
        <v>42</v>
      </c>
      <c r="F663" s="1145">
        <v>0.16</v>
      </c>
      <c r="G663" s="1129" t="s">
        <v>517</v>
      </c>
    </row>
    <row r="664" spans="2:10" x14ac:dyDescent="0.25">
      <c r="D664" s="39">
        <v>50000</v>
      </c>
      <c r="E664" s="925"/>
      <c r="F664" s="1145"/>
      <c r="G664" s="1129"/>
    </row>
    <row r="666" spans="2:10" x14ac:dyDescent="0.25">
      <c r="C666" s="20" t="s">
        <v>513</v>
      </c>
    </row>
    <row r="668" spans="2:10" x14ac:dyDescent="0.25">
      <c r="D668" s="20" t="s">
        <v>514</v>
      </c>
    </row>
    <row r="670" spans="2:10" ht="15.75" thickBot="1" x14ac:dyDescent="0.3"/>
    <row r="671" spans="2:10" ht="27.75" thickTop="1" thickBot="1" x14ac:dyDescent="0.3">
      <c r="B671" s="1141" t="s">
        <v>537</v>
      </c>
      <c r="C671" s="1142" t="s">
        <v>537</v>
      </c>
      <c r="D671" s="1142"/>
      <c r="E671" s="1142"/>
      <c r="F671" s="1142"/>
      <c r="G671" s="1142"/>
      <c r="H671" s="1142"/>
      <c r="I671" s="1142"/>
      <c r="J671" s="1143"/>
    </row>
    <row r="672" spans="2:10" ht="15.75" thickTop="1" x14ac:dyDescent="0.25"/>
    <row r="674" spans="3:8" ht="18.75" x14ac:dyDescent="0.25">
      <c r="D674" s="1126" t="s">
        <v>538</v>
      </c>
      <c r="E674" s="1126"/>
      <c r="F674" s="1126"/>
      <c r="G674" s="1126"/>
    </row>
    <row r="676" spans="3:8" x14ac:dyDescent="0.25">
      <c r="C676" s="20" t="s">
        <v>539</v>
      </c>
    </row>
    <row r="678" spans="3:8" x14ac:dyDescent="0.25">
      <c r="D678" s="198" t="s">
        <v>540</v>
      </c>
    </row>
    <row r="679" spans="3:8" x14ac:dyDescent="0.25">
      <c r="D679" s="198" t="s">
        <v>170</v>
      </c>
    </row>
    <row r="680" spans="3:8" x14ac:dyDescent="0.25">
      <c r="D680" s="198" t="s">
        <v>193</v>
      </c>
    </row>
    <row r="682" spans="3:8" x14ac:dyDescent="0.25">
      <c r="C682" s="121" t="s">
        <v>541</v>
      </c>
    </row>
    <row r="684" spans="3:8" x14ac:dyDescent="0.25">
      <c r="D684" s="20" t="s">
        <v>542</v>
      </c>
      <c r="F684" s="925" t="s">
        <v>42</v>
      </c>
      <c r="G684" s="1146" t="s">
        <v>543</v>
      </c>
      <c r="H684" s="1146"/>
    </row>
    <row r="685" spans="3:8" x14ac:dyDescent="0.25">
      <c r="D685" s="20" t="s">
        <v>544</v>
      </c>
      <c r="F685" s="925"/>
      <c r="G685" s="1146"/>
      <c r="H685" s="1146"/>
    </row>
    <row r="688" spans="3:8" x14ac:dyDescent="0.25">
      <c r="D688" s="20" t="s">
        <v>545</v>
      </c>
      <c r="F688" s="925" t="s">
        <v>42</v>
      </c>
      <c r="G688" s="1146" t="s">
        <v>546</v>
      </c>
      <c r="H688" s="1146"/>
    </row>
    <row r="689" spans="3:8" x14ac:dyDescent="0.25">
      <c r="D689" s="20" t="s">
        <v>547</v>
      </c>
      <c r="F689" s="925"/>
      <c r="G689" s="1146"/>
      <c r="H689" s="1146"/>
    </row>
    <row r="692" spans="3:8" x14ac:dyDescent="0.25">
      <c r="D692" s="20" t="s">
        <v>548</v>
      </c>
      <c r="F692" s="925" t="s">
        <v>42</v>
      </c>
      <c r="G692" s="1146" t="s">
        <v>549</v>
      </c>
      <c r="H692" s="1146"/>
    </row>
    <row r="693" spans="3:8" x14ac:dyDescent="0.25">
      <c r="D693" s="20" t="s">
        <v>550</v>
      </c>
      <c r="F693" s="925"/>
      <c r="G693" s="1146"/>
      <c r="H693" s="1146"/>
    </row>
    <row r="696" spans="3:8" x14ac:dyDescent="0.25">
      <c r="C696" s="20" t="s">
        <v>551</v>
      </c>
    </row>
    <row r="699" spans="3:8" ht="18.75" x14ac:dyDescent="0.25">
      <c r="D699" s="1126" t="s">
        <v>552</v>
      </c>
      <c r="E699" s="1126"/>
      <c r="F699" s="1126"/>
      <c r="G699" s="1126"/>
    </row>
    <row r="701" spans="3:8" ht="15.75" x14ac:dyDescent="0.25">
      <c r="D701" s="1140" t="s">
        <v>553</v>
      </c>
      <c r="E701" s="1140"/>
      <c r="F701" s="1140"/>
    </row>
    <row r="704" spans="3:8" x14ac:dyDescent="0.25">
      <c r="C704" s="20" t="s">
        <v>557</v>
      </c>
    </row>
    <row r="705" spans="3:15" x14ac:dyDescent="0.25">
      <c r="D705" s="20" t="s">
        <v>554</v>
      </c>
    </row>
    <row r="707" spans="3:15" x14ac:dyDescent="0.25">
      <c r="C707" s="20" t="s">
        <v>558</v>
      </c>
    </row>
    <row r="708" spans="3:15" x14ac:dyDescent="0.25">
      <c r="D708" s="20" t="s">
        <v>555</v>
      </c>
    </row>
    <row r="710" spans="3:15" x14ac:dyDescent="0.25">
      <c r="C710" s="20" t="s">
        <v>559</v>
      </c>
    </row>
    <row r="711" spans="3:15" x14ac:dyDescent="0.25">
      <c r="D711" s="20" t="s">
        <v>556</v>
      </c>
    </row>
    <row r="714" spans="3:15" ht="15.75" x14ac:dyDescent="0.25">
      <c r="D714" s="1140" t="s">
        <v>560</v>
      </c>
      <c r="E714" s="1140"/>
      <c r="F714" s="1140"/>
    </row>
    <row r="717" spans="3:15" x14ac:dyDescent="0.25">
      <c r="C717" s="20" t="s">
        <v>565</v>
      </c>
      <c r="E717" s="114" t="s">
        <v>577</v>
      </c>
      <c r="F717" s="39" t="s">
        <v>42</v>
      </c>
      <c r="J717" s="39" t="s">
        <v>42</v>
      </c>
      <c r="K717" s="200">
        <v>0.9</v>
      </c>
      <c r="L717" s="20" t="s">
        <v>303</v>
      </c>
    </row>
    <row r="718" spans="3:15" x14ac:dyDescent="0.25">
      <c r="C718" s="20" t="s">
        <v>566</v>
      </c>
      <c r="E718" s="114" t="s">
        <v>578</v>
      </c>
      <c r="F718" s="39" t="s">
        <v>42</v>
      </c>
      <c r="J718" s="39" t="s">
        <v>42</v>
      </c>
      <c r="K718" s="200">
        <v>1</v>
      </c>
      <c r="L718" s="20" t="s">
        <v>576</v>
      </c>
    </row>
    <row r="719" spans="3:15" x14ac:dyDescent="0.25">
      <c r="C719" s="20" t="s">
        <v>567</v>
      </c>
      <c r="E719" s="114" t="s">
        <v>564</v>
      </c>
      <c r="F719" s="39" t="s">
        <v>42</v>
      </c>
      <c r="G719" s="20" t="s">
        <v>573</v>
      </c>
      <c r="J719" s="39" t="s">
        <v>42</v>
      </c>
      <c r="K719" s="201">
        <v>60</v>
      </c>
      <c r="L719" s="112" t="s">
        <v>574</v>
      </c>
      <c r="M719" s="39" t="s">
        <v>295</v>
      </c>
      <c r="N719" s="197">
        <v>0.06</v>
      </c>
      <c r="O719" s="112" t="s">
        <v>575</v>
      </c>
    </row>
    <row r="722" spans="3:16" ht="15.75" x14ac:dyDescent="0.25">
      <c r="C722" s="199"/>
      <c r="D722" s="199" t="s">
        <v>568</v>
      </c>
      <c r="E722" s="199"/>
      <c r="F722" s="199"/>
      <c r="G722" s="199"/>
      <c r="H722" s="199"/>
    </row>
    <row r="725" spans="3:16" x14ac:dyDescent="0.25">
      <c r="C725" s="20" t="s">
        <v>561</v>
      </c>
      <c r="E725" s="196">
        <v>0.03</v>
      </c>
      <c r="F725" s="39" t="s">
        <v>42</v>
      </c>
      <c r="G725" s="20" t="s">
        <v>582</v>
      </c>
      <c r="J725" s="39" t="s">
        <v>42</v>
      </c>
      <c r="K725" s="196">
        <v>0.03</v>
      </c>
      <c r="L725" s="39" t="s">
        <v>117</v>
      </c>
      <c r="M725" s="39">
        <v>1</v>
      </c>
      <c r="N725" s="39" t="s">
        <v>42</v>
      </c>
      <c r="O725" s="120">
        <f>SUM(K725:M725)</f>
        <v>1.03</v>
      </c>
      <c r="P725" s="20" t="s">
        <v>13</v>
      </c>
    </row>
    <row r="726" spans="3:16" x14ac:dyDescent="0.25">
      <c r="C726" s="20" t="s">
        <v>562</v>
      </c>
      <c r="E726" s="196">
        <v>0.05</v>
      </c>
      <c r="F726" s="39" t="s">
        <v>42</v>
      </c>
      <c r="G726" s="20" t="s">
        <v>581</v>
      </c>
      <c r="J726" s="39" t="s">
        <v>42</v>
      </c>
      <c r="K726" s="196">
        <v>0.05</v>
      </c>
      <c r="L726" s="39" t="s">
        <v>117</v>
      </c>
      <c r="M726" s="39">
        <v>1</v>
      </c>
      <c r="N726" s="39" t="s">
        <v>42</v>
      </c>
      <c r="O726" s="120">
        <f>SUM(K726:M726)</f>
        <v>1.05</v>
      </c>
      <c r="P726" s="20" t="s">
        <v>13</v>
      </c>
    </row>
    <row r="727" spans="3:16" x14ac:dyDescent="0.25">
      <c r="C727" s="20" t="s">
        <v>563</v>
      </c>
      <c r="E727" s="196">
        <v>0.06</v>
      </c>
      <c r="F727" s="39" t="s">
        <v>42</v>
      </c>
      <c r="G727" s="20" t="s">
        <v>580</v>
      </c>
      <c r="J727" s="39" t="s">
        <v>42</v>
      </c>
      <c r="K727" s="196">
        <v>0.06</v>
      </c>
      <c r="L727" s="39" t="s">
        <v>117</v>
      </c>
      <c r="M727" s="39">
        <v>1</v>
      </c>
      <c r="N727" s="39" t="s">
        <v>42</v>
      </c>
      <c r="O727" s="120">
        <f>SUM(K727:M727)</f>
        <v>1.06</v>
      </c>
      <c r="P727" s="20" t="s">
        <v>13</v>
      </c>
    </row>
    <row r="730" spans="3:16" ht="15.75" x14ac:dyDescent="0.25">
      <c r="D730" s="1140" t="s">
        <v>569</v>
      </c>
      <c r="E730" s="1140"/>
      <c r="F730" s="1140"/>
    </row>
    <row r="733" spans="3:16" x14ac:dyDescent="0.25">
      <c r="C733" s="20" t="s">
        <v>571</v>
      </c>
      <c r="E733" s="39" t="s">
        <v>579</v>
      </c>
      <c r="F733" s="39" t="s">
        <v>42</v>
      </c>
      <c r="G733" s="200">
        <v>12</v>
      </c>
      <c r="H733" s="20" t="s">
        <v>583</v>
      </c>
    </row>
    <row r="734" spans="3:16" x14ac:dyDescent="0.25">
      <c r="C734" s="20" t="s">
        <v>572</v>
      </c>
      <c r="E734" s="39" t="s">
        <v>570</v>
      </c>
      <c r="F734" s="39" t="s">
        <v>42</v>
      </c>
      <c r="G734" s="200">
        <v>13</v>
      </c>
      <c r="H734" s="20" t="s">
        <v>584</v>
      </c>
    </row>
    <row r="737" spans="3:7" ht="18.75" x14ac:dyDescent="0.25">
      <c r="D737" s="1126" t="s">
        <v>585</v>
      </c>
      <c r="E737" s="1126"/>
      <c r="F737" s="1126"/>
      <c r="G737" s="1126"/>
    </row>
    <row r="740" spans="3:7" x14ac:dyDescent="0.25">
      <c r="C740" s="20" t="s">
        <v>586</v>
      </c>
    </row>
    <row r="742" spans="3:7" x14ac:dyDescent="0.25">
      <c r="C742" s="20" t="s">
        <v>587</v>
      </c>
    </row>
    <row r="743" spans="3:7" x14ac:dyDescent="0.25">
      <c r="C743" s="20" t="s">
        <v>588</v>
      </c>
    </row>
    <row r="745" spans="3:7" x14ac:dyDescent="0.25">
      <c r="C745" s="20" t="s">
        <v>592</v>
      </c>
      <c r="G745" s="112" t="s">
        <v>599</v>
      </c>
    </row>
    <row r="746" spans="3:7" x14ac:dyDescent="0.25">
      <c r="C746" s="20" t="s">
        <v>593</v>
      </c>
      <c r="G746" s="112" t="s">
        <v>589</v>
      </c>
    </row>
    <row r="747" spans="3:7" x14ac:dyDescent="0.25">
      <c r="C747" s="20" t="s">
        <v>594</v>
      </c>
      <c r="G747" s="112" t="s">
        <v>600</v>
      </c>
    </row>
    <row r="748" spans="3:7" x14ac:dyDescent="0.25">
      <c r="C748" s="20" t="s">
        <v>595</v>
      </c>
      <c r="G748" s="112" t="s">
        <v>601</v>
      </c>
    </row>
    <row r="749" spans="3:7" x14ac:dyDescent="0.25">
      <c r="C749" s="20" t="s">
        <v>596</v>
      </c>
      <c r="G749" s="112" t="s">
        <v>590</v>
      </c>
    </row>
    <row r="750" spans="3:7" x14ac:dyDescent="0.25">
      <c r="C750" s="20" t="s">
        <v>597</v>
      </c>
      <c r="G750" s="112" t="s">
        <v>591</v>
      </c>
    </row>
    <row r="751" spans="3:7" x14ac:dyDescent="0.25">
      <c r="C751" s="20" t="s">
        <v>598</v>
      </c>
      <c r="G751" s="202">
        <v>0.05</v>
      </c>
    </row>
    <row r="754" spans="2:17" x14ac:dyDescent="0.25">
      <c r="D754" s="20" t="s">
        <v>605</v>
      </c>
      <c r="G754" s="39" t="s">
        <v>42</v>
      </c>
      <c r="H754" s="20" t="s">
        <v>608</v>
      </c>
      <c r="J754" s="39" t="s">
        <v>42</v>
      </c>
      <c r="K754" s="39" t="s">
        <v>602</v>
      </c>
    </row>
    <row r="755" spans="2:17" x14ac:dyDescent="0.25">
      <c r="D755" s="20" t="s">
        <v>606</v>
      </c>
      <c r="G755" s="39" t="s">
        <v>42</v>
      </c>
      <c r="H755" s="20" t="s">
        <v>609</v>
      </c>
      <c r="J755" s="39" t="s">
        <v>42</v>
      </c>
      <c r="K755" s="39" t="s">
        <v>603</v>
      </c>
    </row>
    <row r="756" spans="2:17" x14ac:dyDescent="0.25">
      <c r="D756" s="20" t="s">
        <v>607</v>
      </c>
      <c r="G756" s="39" t="s">
        <v>42</v>
      </c>
      <c r="H756" s="20" t="s">
        <v>610</v>
      </c>
      <c r="J756" s="39" t="s">
        <v>42</v>
      </c>
      <c r="K756" s="39" t="s">
        <v>604</v>
      </c>
    </row>
    <row r="762" spans="2:17" ht="15.75" thickBot="1" x14ac:dyDescent="0.3"/>
    <row r="763" spans="2:17" ht="20.25" thickBot="1" x14ac:dyDescent="0.3">
      <c r="B763" s="1255"/>
      <c r="C763" s="1256"/>
      <c r="D763" s="1256"/>
      <c r="E763" s="1257"/>
      <c r="F763" s="277" t="s">
        <v>664</v>
      </c>
      <c r="G763" s="278"/>
      <c r="H763" s="279"/>
      <c r="I763" s="280">
        <v>0</v>
      </c>
      <c r="J763" s="281"/>
      <c r="K763" s="282"/>
      <c r="L763" s="277" t="s">
        <v>634</v>
      </c>
      <c r="M763" s="283"/>
      <c r="N763" s="284">
        <v>0</v>
      </c>
      <c r="O763" s="282"/>
      <c r="P763" s="285"/>
    </row>
    <row r="764" spans="2:17" ht="16.5" customHeight="1" thickTop="1" x14ac:dyDescent="0.25">
      <c r="B764" s="75"/>
      <c r="C764" s="286" t="s">
        <v>635</v>
      </c>
      <c r="D764" s="296" t="s">
        <v>52</v>
      </c>
      <c r="E764" s="286"/>
      <c r="F764" s="287"/>
      <c r="G764" s="287" t="s">
        <v>636</v>
      </c>
      <c r="H764" s="287" t="s">
        <v>637</v>
      </c>
      <c r="I764" s="287" t="s">
        <v>665</v>
      </c>
      <c r="J764" s="287" t="s">
        <v>665</v>
      </c>
      <c r="K764" s="287" t="s">
        <v>336</v>
      </c>
      <c r="L764" s="287" t="s">
        <v>336</v>
      </c>
      <c r="M764" s="287" t="s">
        <v>614</v>
      </c>
      <c r="N764" s="287" t="s">
        <v>614</v>
      </c>
      <c r="O764" s="287" t="s">
        <v>614</v>
      </c>
      <c r="P764" s="1253" t="s">
        <v>638</v>
      </c>
      <c r="Q764" s="1254"/>
    </row>
    <row r="765" spans="2:17" ht="15" customHeight="1" thickBot="1" x14ac:dyDescent="0.3">
      <c r="C765" s="288" t="s">
        <v>51</v>
      </c>
      <c r="D765" s="297"/>
      <c r="E765" s="289" t="s">
        <v>3</v>
      </c>
      <c r="F765" s="290" t="s">
        <v>334</v>
      </c>
      <c r="G765" s="291" t="s">
        <v>639</v>
      </c>
      <c r="H765" s="291" t="s">
        <v>640</v>
      </c>
      <c r="I765" s="291" t="s">
        <v>612</v>
      </c>
      <c r="J765" s="291" t="s">
        <v>170</v>
      </c>
      <c r="K765" s="291" t="s">
        <v>641</v>
      </c>
      <c r="L765" s="291" t="s">
        <v>642</v>
      </c>
      <c r="M765" s="291" t="s">
        <v>612</v>
      </c>
      <c r="N765" s="291" t="s">
        <v>170</v>
      </c>
      <c r="O765" s="291" t="s">
        <v>643</v>
      </c>
      <c r="P765" s="263" t="s">
        <v>644</v>
      </c>
      <c r="Q765" s="264" t="s">
        <v>107</v>
      </c>
    </row>
    <row r="766" spans="2:17" ht="15" customHeight="1" thickBot="1" x14ac:dyDescent="0.3">
      <c r="C766" s="292"/>
      <c r="D766" s="293"/>
      <c r="E766" s="293"/>
      <c r="F766" s="294">
        <v>1</v>
      </c>
      <c r="G766" s="295">
        <v>2</v>
      </c>
      <c r="H766" s="291" t="s">
        <v>666</v>
      </c>
      <c r="I766" s="295">
        <v>4</v>
      </c>
      <c r="J766" s="295">
        <v>5</v>
      </c>
      <c r="K766" s="291" t="s">
        <v>667</v>
      </c>
      <c r="L766" s="291" t="s">
        <v>668</v>
      </c>
      <c r="M766" s="291" t="s">
        <v>669</v>
      </c>
      <c r="N766" s="291" t="s">
        <v>670</v>
      </c>
      <c r="O766" s="291" t="s">
        <v>671</v>
      </c>
      <c r="P766" s="263" t="s">
        <v>662</v>
      </c>
      <c r="Q766" s="264" t="s">
        <v>663</v>
      </c>
    </row>
    <row r="769" spans="3:3" x14ac:dyDescent="0.25">
      <c r="C769" s="20" t="s">
        <v>672</v>
      </c>
    </row>
    <row r="771" spans="3:3" x14ac:dyDescent="0.25">
      <c r="C771" s="20" t="s">
        <v>677</v>
      </c>
    </row>
    <row r="773" spans="3:3" x14ac:dyDescent="0.25">
      <c r="C773" s="20" t="s">
        <v>678</v>
      </c>
    </row>
    <row r="775" spans="3:3" x14ac:dyDescent="0.25">
      <c r="C775" s="20" t="s">
        <v>673</v>
      </c>
    </row>
    <row r="777" spans="3:3" x14ac:dyDescent="0.25">
      <c r="C777" s="20" t="s">
        <v>674</v>
      </c>
    </row>
    <row r="779" spans="3:3" x14ac:dyDescent="0.25">
      <c r="C779" s="20" t="s">
        <v>675</v>
      </c>
    </row>
    <row r="781" spans="3:3" x14ac:dyDescent="0.25">
      <c r="C781" s="20" t="s">
        <v>676</v>
      </c>
    </row>
    <row r="783" spans="3:3" x14ac:dyDescent="0.25">
      <c r="C783" s="20" t="s">
        <v>679</v>
      </c>
    </row>
    <row r="785" spans="2:10" x14ac:dyDescent="0.25">
      <c r="C785" s="20" t="s">
        <v>680</v>
      </c>
    </row>
    <row r="788" spans="2:10" ht="15.75" thickBot="1" x14ac:dyDescent="0.3"/>
    <row r="789" spans="2:10" ht="27.75" thickTop="1" thickBot="1" x14ac:dyDescent="0.3">
      <c r="B789" s="1141" t="s">
        <v>681</v>
      </c>
      <c r="C789" s="1142"/>
      <c r="D789" s="1142" t="s">
        <v>681</v>
      </c>
      <c r="E789" s="1142"/>
      <c r="F789" s="1142"/>
      <c r="G789" s="1142"/>
      <c r="H789" s="1142"/>
      <c r="I789" s="1142"/>
      <c r="J789" s="1143"/>
    </row>
    <row r="790" spans="2:10" ht="15.75" thickTop="1" x14ac:dyDescent="0.25"/>
    <row r="792" spans="2:10" ht="18.75" x14ac:dyDescent="0.25">
      <c r="D792" s="1126" t="s">
        <v>157</v>
      </c>
      <c r="E792" s="1126"/>
      <c r="F792" s="1126"/>
      <c r="G792" s="1126"/>
    </row>
    <row r="795" spans="2:10" x14ac:dyDescent="0.25">
      <c r="C795" s="20" t="s">
        <v>682</v>
      </c>
    </row>
    <row r="796" spans="2:10" x14ac:dyDescent="0.25">
      <c r="C796" s="20" t="s">
        <v>683</v>
      </c>
    </row>
    <row r="798" spans="2:10" x14ac:dyDescent="0.25">
      <c r="D798" s="20" t="s">
        <v>466</v>
      </c>
    </row>
    <row r="800" spans="2:10" x14ac:dyDescent="0.25">
      <c r="D800" s="20" t="s">
        <v>684</v>
      </c>
    </row>
    <row r="801" spans="4:13" x14ac:dyDescent="0.25">
      <c r="D801" s="20" t="s">
        <v>685</v>
      </c>
    </row>
    <row r="803" spans="4:13" x14ac:dyDescent="0.25">
      <c r="D803" s="20" t="s">
        <v>690</v>
      </c>
    </row>
    <row r="804" spans="4:13" x14ac:dyDescent="0.25">
      <c r="E804" s="39" t="s">
        <v>691</v>
      </c>
      <c r="F804" s="39" t="s">
        <v>42</v>
      </c>
      <c r="G804" s="305">
        <v>23000</v>
      </c>
      <c r="H804" s="39" t="s">
        <v>43</v>
      </c>
      <c r="I804" s="39">
        <v>0.12</v>
      </c>
      <c r="J804" s="39" t="s">
        <v>42</v>
      </c>
      <c r="K804" s="305">
        <f>G804*I804</f>
        <v>2760</v>
      </c>
      <c r="L804" s="39"/>
      <c r="M804" s="39"/>
    </row>
    <row r="806" spans="4:13" x14ac:dyDescent="0.25">
      <c r="D806" s="20" t="s">
        <v>686</v>
      </c>
    </row>
    <row r="808" spans="4:13" x14ac:dyDescent="0.25">
      <c r="D808" s="20" t="s">
        <v>687</v>
      </c>
    </row>
    <row r="809" spans="4:13" x14ac:dyDescent="0.25">
      <c r="E809" s="39" t="s">
        <v>692</v>
      </c>
      <c r="F809" s="39" t="s">
        <v>42</v>
      </c>
      <c r="G809" s="305">
        <f>G804</f>
        <v>23000</v>
      </c>
      <c r="H809" s="39" t="s">
        <v>117</v>
      </c>
      <c r="I809" s="306">
        <f>K804</f>
        <v>2760</v>
      </c>
      <c r="J809" s="39" t="s">
        <v>42</v>
      </c>
      <c r="K809" s="306">
        <f>SUM(G809+I809)</f>
        <v>25760</v>
      </c>
      <c r="L809" s="39"/>
    </row>
    <row r="811" spans="4:13" x14ac:dyDescent="0.25">
      <c r="D811" s="20" t="s">
        <v>688</v>
      </c>
    </row>
    <row r="813" spans="4:13" x14ac:dyDescent="0.25">
      <c r="D813" s="20" t="s">
        <v>689</v>
      </c>
    </row>
    <row r="814" spans="4:13" x14ac:dyDescent="0.25">
      <c r="E814" s="39" t="s">
        <v>692</v>
      </c>
      <c r="F814" s="39" t="s">
        <v>42</v>
      </c>
      <c r="G814" s="305">
        <f>G809</f>
        <v>23000</v>
      </c>
      <c r="H814" s="39" t="s">
        <v>43</v>
      </c>
      <c r="I814" s="20" t="s">
        <v>693</v>
      </c>
      <c r="K814" s="39" t="s">
        <v>42</v>
      </c>
      <c r="L814" s="308">
        <f>23000*1+(0.12*23000)</f>
        <v>25760</v>
      </c>
    </row>
    <row r="816" spans="4:13" x14ac:dyDescent="0.25">
      <c r="E816" s="39" t="s">
        <v>692</v>
      </c>
      <c r="F816" s="39" t="s">
        <v>42</v>
      </c>
      <c r="G816" s="305">
        <f>G804</f>
        <v>23000</v>
      </c>
      <c r="H816" s="39" t="s">
        <v>43</v>
      </c>
      <c r="I816" s="39">
        <v>1.1200000000000001</v>
      </c>
      <c r="J816" s="39"/>
      <c r="K816" s="39" t="s">
        <v>42</v>
      </c>
      <c r="L816" s="305">
        <f>23000*1.12</f>
        <v>25760.000000000004</v>
      </c>
    </row>
    <row r="819" spans="3:7" ht="18.75" x14ac:dyDescent="0.25">
      <c r="D819" s="1126" t="s">
        <v>694</v>
      </c>
      <c r="E819" s="1126"/>
      <c r="F819" s="1126"/>
      <c r="G819" s="1126"/>
    </row>
    <row r="822" spans="3:7" x14ac:dyDescent="0.25">
      <c r="C822" s="20" t="s">
        <v>695</v>
      </c>
    </row>
    <row r="823" spans="3:7" x14ac:dyDescent="0.25">
      <c r="C823" s="20" t="s">
        <v>696</v>
      </c>
    </row>
    <row r="825" spans="3:7" x14ac:dyDescent="0.25">
      <c r="D825" s="20" t="s">
        <v>697</v>
      </c>
    </row>
    <row r="826" spans="3:7" x14ac:dyDescent="0.25">
      <c r="D826" s="20" t="s">
        <v>698</v>
      </c>
    </row>
    <row r="827" spans="3:7" x14ac:dyDescent="0.25">
      <c r="D827" s="20" t="s">
        <v>699</v>
      </c>
    </row>
    <row r="828" spans="3:7" x14ac:dyDescent="0.25">
      <c r="D828" s="20" t="s">
        <v>700</v>
      </c>
    </row>
    <row r="829" spans="3:7" x14ac:dyDescent="0.25">
      <c r="D829" s="20" t="s">
        <v>701</v>
      </c>
    </row>
    <row r="830" spans="3:7" x14ac:dyDescent="0.25">
      <c r="D830" s="20" t="s">
        <v>702</v>
      </c>
    </row>
    <row r="831" spans="3:7" x14ac:dyDescent="0.25">
      <c r="D831" s="20" t="s">
        <v>703</v>
      </c>
    </row>
    <row r="833" spans="3:8" ht="15.75" x14ac:dyDescent="0.25">
      <c r="C833" s="309" t="s">
        <v>709</v>
      </c>
    </row>
    <row r="836" spans="3:8" ht="18.75" x14ac:dyDescent="0.25">
      <c r="D836" s="1126" t="s">
        <v>158</v>
      </c>
      <c r="E836" s="1126"/>
      <c r="F836" s="1126"/>
      <c r="G836" s="1126"/>
    </row>
    <row r="839" spans="3:8" x14ac:dyDescent="0.25">
      <c r="C839" s="20" t="s">
        <v>704</v>
      </c>
    </row>
    <row r="841" spans="3:8" x14ac:dyDescent="0.25">
      <c r="D841" s="20" t="s">
        <v>705</v>
      </c>
    </row>
    <row r="842" spans="3:8" x14ac:dyDescent="0.25">
      <c r="D842" s="20" t="s">
        <v>706</v>
      </c>
    </row>
    <row r="843" spans="3:8" x14ac:dyDescent="0.25">
      <c r="D843" s="20" t="s">
        <v>707</v>
      </c>
    </row>
    <row r="844" spans="3:8" x14ac:dyDescent="0.25">
      <c r="D844" s="20" t="s">
        <v>708</v>
      </c>
    </row>
    <row r="846" spans="3:8" ht="15.75" x14ac:dyDescent="0.25">
      <c r="C846" s="1140" t="s">
        <v>710</v>
      </c>
      <c r="D846" s="1140"/>
      <c r="E846" s="1140"/>
      <c r="F846" s="1140"/>
      <c r="G846" s="1140"/>
      <c r="H846" s="1140"/>
    </row>
    <row r="849" spans="3:9" x14ac:dyDescent="0.25">
      <c r="D849" s="20" t="s">
        <v>712</v>
      </c>
    </row>
    <row r="850" spans="3:9" x14ac:dyDescent="0.25">
      <c r="D850" s="20" t="s">
        <v>713</v>
      </c>
    </row>
    <row r="851" spans="3:9" x14ac:dyDescent="0.25">
      <c r="D851" s="20" t="s">
        <v>714</v>
      </c>
    </row>
    <row r="854" spans="3:9" x14ac:dyDescent="0.25">
      <c r="C854" s="1127" t="s">
        <v>711</v>
      </c>
      <c r="D854" s="1127"/>
      <c r="E854" s="1127"/>
      <c r="F854" s="1127"/>
      <c r="G854" s="1127"/>
      <c r="H854" s="1127"/>
    </row>
    <row r="857" spans="3:9" x14ac:dyDescent="0.25">
      <c r="D857" s="20" t="s">
        <v>715</v>
      </c>
    </row>
    <row r="858" spans="3:9" x14ac:dyDescent="0.25">
      <c r="D858" s="20" t="s">
        <v>716</v>
      </c>
    </row>
    <row r="861" spans="3:9" x14ac:dyDescent="0.25">
      <c r="D861" s="1130" t="s">
        <v>717</v>
      </c>
      <c r="E861" s="1130"/>
      <c r="F861" s="1130"/>
      <c r="G861" s="1130"/>
      <c r="H861" s="1130"/>
      <c r="I861" s="1130"/>
    </row>
    <row r="863" spans="3:9" x14ac:dyDescent="0.25">
      <c r="D863" s="20" t="s">
        <v>153</v>
      </c>
      <c r="E863" s="39" t="s">
        <v>42</v>
      </c>
      <c r="F863" s="310">
        <v>31000</v>
      </c>
    </row>
    <row r="864" spans="3:9" x14ac:dyDescent="0.25">
      <c r="D864" s="20" t="s">
        <v>731</v>
      </c>
      <c r="E864" s="39"/>
      <c r="F864" s="310" t="s">
        <v>732</v>
      </c>
    </row>
    <row r="865" spans="3:9" x14ac:dyDescent="0.25">
      <c r="D865" s="20" t="s">
        <v>159</v>
      </c>
      <c r="E865" s="39" t="s">
        <v>42</v>
      </c>
      <c r="F865" s="307" t="s">
        <v>719</v>
      </c>
    </row>
    <row r="866" spans="3:9" x14ac:dyDescent="0.25">
      <c r="D866" s="20" t="s">
        <v>158</v>
      </c>
      <c r="E866" s="39" t="s">
        <v>42</v>
      </c>
      <c r="F866" s="307" t="s">
        <v>720</v>
      </c>
    </row>
    <row r="868" spans="3:9" x14ac:dyDescent="0.25">
      <c r="C868" s="20" t="s">
        <v>718</v>
      </c>
    </row>
    <row r="870" spans="3:9" ht="18.75" x14ac:dyDescent="0.25">
      <c r="E870" s="333">
        <v>100</v>
      </c>
      <c r="F870" s="333" t="s">
        <v>733</v>
      </c>
      <c r="G870" s="333" t="s">
        <v>734</v>
      </c>
      <c r="H870" s="333" t="s">
        <v>42</v>
      </c>
      <c r="I870" s="333">
        <f>100-(4+18+1)</f>
        <v>77</v>
      </c>
    </row>
    <row r="872" spans="3:9" x14ac:dyDescent="0.25">
      <c r="C872" s="20" t="s">
        <v>721</v>
      </c>
    </row>
    <row r="874" spans="3:9" x14ac:dyDescent="0.25">
      <c r="D874" s="67">
        <v>100</v>
      </c>
      <c r="E874" s="925" t="s">
        <v>43</v>
      </c>
      <c r="F874" s="925">
        <v>18</v>
      </c>
      <c r="G874" s="925" t="s">
        <v>42</v>
      </c>
      <c r="H874" s="1128">
        <f>(100/(100-(4+18+1))*18)</f>
        <v>23.376623376623378</v>
      </c>
      <c r="I874" s="1139" t="s">
        <v>722</v>
      </c>
    </row>
    <row r="875" spans="3:9" x14ac:dyDescent="0.25">
      <c r="D875" s="39" t="s">
        <v>735</v>
      </c>
      <c r="E875" s="925"/>
      <c r="F875" s="925"/>
      <c r="G875" s="925"/>
      <c r="H875" s="1128"/>
      <c r="I875" s="1139"/>
    </row>
    <row r="877" spans="3:9" x14ac:dyDescent="0.25">
      <c r="C877" s="20" t="s">
        <v>723</v>
      </c>
    </row>
    <row r="879" spans="3:9" x14ac:dyDescent="0.25">
      <c r="D879" s="67">
        <v>100</v>
      </c>
      <c r="E879" s="925" t="s">
        <v>43</v>
      </c>
      <c r="F879" s="925">
        <v>1</v>
      </c>
      <c r="G879" s="925" t="s">
        <v>42</v>
      </c>
      <c r="H879" s="1128">
        <f>(100/(100-(4+18+1))*1)</f>
        <v>1.2987012987012987</v>
      </c>
      <c r="I879" s="1139" t="s">
        <v>722</v>
      </c>
    </row>
    <row r="880" spans="3:9" x14ac:dyDescent="0.25">
      <c r="D880" s="39" t="s">
        <v>735</v>
      </c>
      <c r="E880" s="925"/>
      <c r="F880" s="925"/>
      <c r="G880" s="925"/>
      <c r="H880" s="1128"/>
      <c r="I880" s="1139"/>
    </row>
    <row r="882" spans="3:9" x14ac:dyDescent="0.25">
      <c r="C882" s="20" t="s">
        <v>736</v>
      </c>
    </row>
    <row r="884" spans="3:9" x14ac:dyDescent="0.25">
      <c r="D884" s="67">
        <v>100</v>
      </c>
      <c r="E884" s="925" t="s">
        <v>43</v>
      </c>
      <c r="F884" s="925">
        <v>4</v>
      </c>
      <c r="G884" s="925" t="s">
        <v>42</v>
      </c>
      <c r="H884" s="1128">
        <f>(100/(100-4)*4)</f>
        <v>4.166666666666667</v>
      </c>
      <c r="I884" s="1139" t="s">
        <v>722</v>
      </c>
    </row>
    <row r="885" spans="3:9" x14ac:dyDescent="0.25">
      <c r="D885" s="39" t="s">
        <v>737</v>
      </c>
      <c r="E885" s="925"/>
      <c r="F885" s="925"/>
      <c r="G885" s="925"/>
      <c r="H885" s="1128"/>
      <c r="I885" s="1139"/>
    </row>
    <row r="886" spans="3:9" x14ac:dyDescent="0.25">
      <c r="D886" s="39"/>
      <c r="E886" s="39"/>
      <c r="F886" s="39"/>
      <c r="G886" s="39"/>
      <c r="H886" s="312"/>
      <c r="I886" s="313"/>
    </row>
    <row r="888" spans="3:9" x14ac:dyDescent="0.25">
      <c r="E888" s="1131" t="s">
        <v>724</v>
      </c>
      <c r="F888" s="1132"/>
      <c r="G888" s="1133"/>
      <c r="H888" s="314" t="s">
        <v>725</v>
      </c>
    </row>
    <row r="889" spans="3:9" x14ac:dyDescent="0.25">
      <c r="E889" s="315"/>
      <c r="F889" s="316" t="s">
        <v>55</v>
      </c>
      <c r="G889" s="317"/>
      <c r="H889" s="318"/>
    </row>
    <row r="890" spans="3:9" x14ac:dyDescent="0.25">
      <c r="E890" s="315"/>
      <c r="F890" s="319" t="s">
        <v>157</v>
      </c>
      <c r="G890" s="317"/>
      <c r="H890" s="320"/>
    </row>
    <row r="891" spans="3:9" x14ac:dyDescent="0.25">
      <c r="E891" s="315"/>
      <c r="F891" s="319" t="s">
        <v>726</v>
      </c>
      <c r="G891" s="317"/>
      <c r="H891" s="318">
        <v>31000</v>
      </c>
    </row>
    <row r="892" spans="3:9" x14ac:dyDescent="0.25">
      <c r="E892" s="315"/>
      <c r="F892" s="319" t="s">
        <v>159</v>
      </c>
      <c r="G892" s="321">
        <v>0.233766</v>
      </c>
      <c r="H892" s="322">
        <f>ROUND(H891*G892,2)</f>
        <v>7246.75</v>
      </c>
    </row>
    <row r="893" spans="3:9" x14ac:dyDescent="0.25">
      <c r="E893" s="315"/>
      <c r="F893" s="319" t="s">
        <v>727</v>
      </c>
      <c r="G893" s="321">
        <v>1.2987E-2</v>
      </c>
      <c r="H893" s="322">
        <f>ROUND(H891*G893,2)</f>
        <v>402.6</v>
      </c>
    </row>
    <row r="894" spans="3:9" x14ac:dyDescent="0.25">
      <c r="E894" s="315"/>
      <c r="F894" s="319" t="s">
        <v>646</v>
      </c>
      <c r="G894" s="317"/>
      <c r="H894" s="318">
        <f>SUM(H891:H893)</f>
        <v>38649.35</v>
      </c>
    </row>
    <row r="895" spans="3:9" x14ac:dyDescent="0.25">
      <c r="E895" s="315"/>
      <c r="F895" s="319" t="s">
        <v>728</v>
      </c>
      <c r="G895" s="321">
        <v>4.1667000000000003E-2</v>
      </c>
      <c r="H895" s="320">
        <f>ROUND(H894*G895,2)</f>
        <v>1610.4</v>
      </c>
    </row>
    <row r="896" spans="3:9" x14ac:dyDescent="0.25">
      <c r="E896" s="315"/>
      <c r="F896" s="324" t="s">
        <v>54</v>
      </c>
      <c r="G896" s="317"/>
      <c r="H896" s="325">
        <f>H894+H895</f>
        <v>40259.75</v>
      </c>
    </row>
    <row r="897" spans="3:8" ht="15.75" thickBot="1" x14ac:dyDescent="0.3">
      <c r="E897" s="326"/>
      <c r="F897" s="317"/>
      <c r="G897" s="317"/>
      <c r="H897" s="327"/>
    </row>
    <row r="898" spans="3:8" ht="15.75" thickBot="1" x14ac:dyDescent="0.3">
      <c r="E898" s="328"/>
      <c r="F898" s="329"/>
      <c r="G898" s="330" t="s">
        <v>729</v>
      </c>
      <c r="H898" s="331">
        <f>ROUND(IF(H889=0,0,H896/H889),3)</f>
        <v>0</v>
      </c>
    </row>
    <row r="902" spans="3:8" ht="18.75" x14ac:dyDescent="0.25">
      <c r="D902" s="1126" t="s">
        <v>161</v>
      </c>
      <c r="E902" s="1126"/>
      <c r="F902" s="1126"/>
      <c r="G902" s="1126"/>
    </row>
    <row r="904" spans="3:8" x14ac:dyDescent="0.25">
      <c r="C904" s="20" t="s">
        <v>738</v>
      </c>
    </row>
    <row r="905" spans="3:8" x14ac:dyDescent="0.25">
      <c r="C905" s="20" t="s">
        <v>739</v>
      </c>
    </row>
    <row r="907" spans="3:8" x14ac:dyDescent="0.25">
      <c r="C907" s="20" t="s">
        <v>740</v>
      </c>
    </row>
    <row r="908" spans="3:8" x14ac:dyDescent="0.25">
      <c r="C908" s="20" t="s">
        <v>741</v>
      </c>
    </row>
    <row r="911" spans="3:8" ht="18.75" x14ac:dyDescent="0.25">
      <c r="D911" s="1126" t="s">
        <v>742</v>
      </c>
      <c r="E911" s="1126"/>
      <c r="F911" s="1126"/>
      <c r="G911" s="1126"/>
    </row>
    <row r="914" spans="3:6" x14ac:dyDescent="0.25">
      <c r="C914" s="20" t="s">
        <v>746</v>
      </c>
    </row>
    <row r="915" spans="3:6" x14ac:dyDescent="0.25">
      <c r="C915" s="20" t="s">
        <v>747</v>
      </c>
    </row>
    <row r="917" spans="3:6" x14ac:dyDescent="0.25">
      <c r="C917" s="20" t="s">
        <v>743</v>
      </c>
    </row>
    <row r="919" spans="3:6" x14ac:dyDescent="0.25">
      <c r="C919" s="20" t="s">
        <v>744</v>
      </c>
    </row>
    <row r="921" spans="3:6" x14ac:dyDescent="0.25">
      <c r="D921" s="311" t="s">
        <v>750</v>
      </c>
    </row>
    <row r="922" spans="3:6" x14ac:dyDescent="0.25">
      <c r="D922" s="311" t="s">
        <v>745</v>
      </c>
    </row>
    <row r="924" spans="3:6" x14ac:dyDescent="0.25">
      <c r="C924" s="20" t="s">
        <v>751</v>
      </c>
    </row>
    <row r="926" spans="3:6" x14ac:dyDescent="0.25">
      <c r="D926" s="20" t="s">
        <v>752</v>
      </c>
      <c r="E926" s="39" t="s">
        <v>42</v>
      </c>
      <c r="F926" s="307" t="s">
        <v>753</v>
      </c>
    </row>
    <row r="927" spans="3:6" x14ac:dyDescent="0.25">
      <c r="D927" s="20" t="s">
        <v>754</v>
      </c>
      <c r="E927" s="39" t="s">
        <v>42</v>
      </c>
      <c r="F927" s="307" t="s">
        <v>755</v>
      </c>
    </row>
    <row r="928" spans="3:6" x14ac:dyDescent="0.25">
      <c r="D928" s="20" t="s">
        <v>756</v>
      </c>
      <c r="E928" s="39" t="s">
        <v>42</v>
      </c>
      <c r="F928" s="307" t="s">
        <v>757</v>
      </c>
    </row>
    <row r="929" spans="4:7" x14ac:dyDescent="0.25">
      <c r="D929" s="20" t="s">
        <v>758</v>
      </c>
      <c r="E929" s="39" t="s">
        <v>42</v>
      </c>
      <c r="F929" s="307" t="s">
        <v>759</v>
      </c>
    </row>
    <row r="932" spans="4:7" x14ac:dyDescent="0.25">
      <c r="D932" s="1138" t="s">
        <v>730</v>
      </c>
      <c r="E932" s="1138"/>
      <c r="F932" s="1138"/>
      <c r="G932" s="1138"/>
    </row>
    <row r="933" spans="4:7" x14ac:dyDescent="0.25">
      <c r="D933" s="1131" t="s">
        <v>724</v>
      </c>
      <c r="E933" s="1132"/>
      <c r="F933" s="1132"/>
      <c r="G933" s="314" t="s">
        <v>725</v>
      </c>
    </row>
    <row r="934" spans="4:7" x14ac:dyDescent="0.25">
      <c r="D934" s="339"/>
      <c r="E934" s="340" t="s">
        <v>55</v>
      </c>
      <c r="F934" s="317"/>
      <c r="G934" s="318">
        <v>100000</v>
      </c>
    </row>
    <row r="935" spans="4:7" x14ac:dyDescent="0.25">
      <c r="D935" s="339"/>
      <c r="E935" s="341" t="s">
        <v>157</v>
      </c>
      <c r="F935" s="323">
        <v>0.1</v>
      </c>
      <c r="G935" s="320">
        <f>ROUND(G934*F935,2)</f>
        <v>10000</v>
      </c>
    </row>
    <row r="936" spans="4:7" x14ac:dyDescent="0.25">
      <c r="D936" s="339"/>
      <c r="E936" s="341" t="s">
        <v>726</v>
      </c>
      <c r="F936" s="317"/>
      <c r="G936" s="318">
        <f>G935+G934</f>
        <v>110000</v>
      </c>
    </row>
    <row r="937" spans="4:7" x14ac:dyDescent="0.25">
      <c r="D937" s="339"/>
      <c r="E937" s="341" t="s">
        <v>159</v>
      </c>
      <c r="F937" s="323">
        <v>0.22</v>
      </c>
      <c r="G937" s="322">
        <f>ROUND(G936*F937,2)</f>
        <v>24200</v>
      </c>
    </row>
    <row r="938" spans="4:7" x14ac:dyDescent="0.25">
      <c r="D938" s="339"/>
      <c r="E938" s="341" t="s">
        <v>727</v>
      </c>
      <c r="F938" s="323"/>
      <c r="G938" s="322">
        <f>ROUND(G936*F938,2)</f>
        <v>0</v>
      </c>
    </row>
    <row r="939" spans="4:7" x14ac:dyDescent="0.25">
      <c r="D939" s="339"/>
      <c r="E939" s="341" t="s">
        <v>646</v>
      </c>
      <c r="F939" s="317"/>
      <c r="G939" s="318">
        <f>G936+G937</f>
        <v>134200</v>
      </c>
    </row>
    <row r="940" spans="4:7" x14ac:dyDescent="0.25">
      <c r="D940" s="339"/>
      <c r="E940" s="341" t="s">
        <v>728</v>
      </c>
      <c r="F940" s="323">
        <v>0.08</v>
      </c>
      <c r="G940" s="320">
        <f>ROUND(G939*F940,2)</f>
        <v>10736</v>
      </c>
    </row>
    <row r="941" spans="4:7" x14ac:dyDescent="0.25">
      <c r="D941" s="339"/>
      <c r="E941" s="342" t="s">
        <v>54</v>
      </c>
      <c r="F941" s="317"/>
      <c r="G941" s="325">
        <f>G939+G940</f>
        <v>144936</v>
      </c>
    </row>
    <row r="942" spans="4:7" ht="15.75" thickBot="1" x14ac:dyDescent="0.3">
      <c r="D942" s="326"/>
      <c r="E942" s="317"/>
      <c r="F942" s="317"/>
      <c r="G942" s="327"/>
    </row>
    <row r="943" spans="4:7" ht="15.75" thickBot="1" x14ac:dyDescent="0.3">
      <c r="D943" s="328"/>
      <c r="E943" s="329"/>
      <c r="F943" s="330" t="s">
        <v>729</v>
      </c>
      <c r="G943" s="332">
        <f>ROUND(IF(G934=0,0,G941/G934),4)</f>
        <v>1.4494</v>
      </c>
    </row>
    <row r="946" spans="4:14" x14ac:dyDescent="0.25">
      <c r="D946" s="67" t="s">
        <v>54</v>
      </c>
      <c r="E946" s="925" t="s">
        <v>42</v>
      </c>
      <c r="F946" s="1134">
        <f>G941</f>
        <v>144936</v>
      </c>
      <c r="G946" s="1135"/>
      <c r="H946" s="925" t="s">
        <v>42</v>
      </c>
      <c r="I946" s="1128">
        <f>F946/F947</f>
        <v>1.44936</v>
      </c>
      <c r="J946" s="1128"/>
      <c r="K946" s="1129" t="s">
        <v>749</v>
      </c>
      <c r="L946" s="1129"/>
    </row>
    <row r="947" spans="4:14" x14ac:dyDescent="0.25">
      <c r="D947" s="39" t="s">
        <v>748</v>
      </c>
      <c r="E947" s="925"/>
      <c r="F947" s="1136">
        <f>G934</f>
        <v>100000</v>
      </c>
      <c r="G947" s="1137"/>
      <c r="H947" s="925"/>
      <c r="I947" s="1128"/>
      <c r="J947" s="1128"/>
      <c r="K947" s="1129"/>
      <c r="L947" s="1129"/>
    </row>
    <row r="950" spans="4:14" x14ac:dyDescent="0.25">
      <c r="D950" s="1127" t="s">
        <v>760</v>
      </c>
      <c r="E950" s="1127"/>
      <c r="F950" s="1127"/>
      <c r="G950" s="1127"/>
      <c r="H950" s="1127"/>
      <c r="I950" s="1127"/>
    </row>
    <row r="953" spans="4:14" x14ac:dyDescent="0.25">
      <c r="D953" s="1130" t="s">
        <v>761</v>
      </c>
      <c r="E953" s="1130"/>
      <c r="F953" s="1130"/>
      <c r="G953" s="1130"/>
      <c r="H953" s="1130"/>
      <c r="I953" s="1130"/>
    </row>
    <row r="956" spans="4:14" x14ac:dyDescent="0.25">
      <c r="D956" s="39" t="s">
        <v>762</v>
      </c>
      <c r="E956" s="39" t="s">
        <v>42</v>
      </c>
      <c r="F956" s="303">
        <v>1.1000000000000001</v>
      </c>
      <c r="G956" s="39" t="s">
        <v>43</v>
      </c>
      <c r="H956" s="39">
        <v>1.22</v>
      </c>
      <c r="I956" s="39" t="s">
        <v>43</v>
      </c>
      <c r="J956" s="39">
        <v>1.08</v>
      </c>
      <c r="K956" s="39" t="s">
        <v>42</v>
      </c>
      <c r="L956" s="312">
        <f>SUM(F956*H956*J956)</f>
        <v>1.4493600000000002</v>
      </c>
      <c r="M956" s="39"/>
      <c r="N956" s="39"/>
    </row>
    <row r="958" spans="4:14" x14ac:dyDescent="0.25">
      <c r="D958" s="39" t="s">
        <v>55</v>
      </c>
      <c r="E958" s="39" t="s">
        <v>42</v>
      </c>
      <c r="F958" s="334">
        <v>100000</v>
      </c>
    </row>
    <row r="961" spans="3:12" x14ac:dyDescent="0.25">
      <c r="D961" s="335" t="s">
        <v>763</v>
      </c>
      <c r="E961" s="335" t="s">
        <v>42</v>
      </c>
      <c r="F961" s="337">
        <f>F958</f>
        <v>100000</v>
      </c>
      <c r="G961" s="335" t="s">
        <v>43</v>
      </c>
      <c r="H961" s="338">
        <f>L956</f>
        <v>1.4493600000000002</v>
      </c>
      <c r="I961" s="335" t="s">
        <v>42</v>
      </c>
      <c r="J961" s="337">
        <f>SUM(F961*H961)</f>
        <v>144936.00000000003</v>
      </c>
      <c r="K961" s="336"/>
      <c r="L961" s="336"/>
    </row>
    <row r="964" spans="3:12" x14ac:dyDescent="0.25">
      <c r="D964" s="1130" t="s">
        <v>764</v>
      </c>
      <c r="E964" s="1130"/>
      <c r="F964" s="1130"/>
      <c r="G964" s="1130"/>
      <c r="H964" s="1130"/>
      <c r="I964" s="1130"/>
    </row>
    <row r="967" spans="3:12" x14ac:dyDescent="0.25">
      <c r="D967" s="925" t="s">
        <v>762</v>
      </c>
      <c r="E967" s="925" t="s">
        <v>42</v>
      </c>
      <c r="F967" s="925">
        <v>1.1000000000000001</v>
      </c>
      <c r="G967" s="925" t="s">
        <v>43</v>
      </c>
      <c r="H967" s="925">
        <v>1.22</v>
      </c>
      <c r="I967" s="925" t="s">
        <v>43</v>
      </c>
      <c r="J967" s="67">
        <v>100</v>
      </c>
      <c r="K967" s="925" t="s">
        <v>42</v>
      </c>
      <c r="L967" s="1128">
        <f>1.1*1.22*(100/(100-8))</f>
        <v>1.4586956521739129</v>
      </c>
    </row>
    <row r="968" spans="3:12" x14ac:dyDescent="0.25">
      <c r="D968" s="925"/>
      <c r="E968" s="925"/>
      <c r="F968" s="925"/>
      <c r="G968" s="925"/>
      <c r="H968" s="925"/>
      <c r="I968" s="925"/>
      <c r="J968" s="39" t="s">
        <v>765</v>
      </c>
      <c r="K968" s="925"/>
      <c r="L968" s="1128"/>
    </row>
    <row r="972" spans="3:12" ht="18.75" x14ac:dyDescent="0.25">
      <c r="D972" s="1126" t="s">
        <v>766</v>
      </c>
      <c r="E972" s="1126"/>
      <c r="F972" s="1126"/>
      <c r="G972" s="1126"/>
    </row>
    <row r="975" spans="3:12" x14ac:dyDescent="0.25">
      <c r="C975" s="20" t="s">
        <v>768</v>
      </c>
    </row>
    <row r="976" spans="3:12" x14ac:dyDescent="0.25">
      <c r="C976" s="20" t="s">
        <v>769</v>
      </c>
    </row>
    <row r="978" spans="3:9" x14ac:dyDescent="0.25">
      <c r="C978" s="20" t="s">
        <v>767</v>
      </c>
    </row>
    <row r="980" spans="3:9" x14ac:dyDescent="0.25">
      <c r="D980" s="20" t="s">
        <v>770</v>
      </c>
    </row>
    <row r="981" spans="3:9" x14ac:dyDescent="0.25">
      <c r="D981" s="20" t="s">
        <v>771</v>
      </c>
    </row>
    <row r="983" spans="3:9" x14ac:dyDescent="0.25">
      <c r="C983" s="20" t="s">
        <v>773</v>
      </c>
    </row>
    <row r="984" spans="3:9" x14ac:dyDescent="0.25">
      <c r="C984" s="20" t="s">
        <v>772</v>
      </c>
    </row>
    <row r="987" spans="3:9" x14ac:dyDescent="0.25">
      <c r="D987" s="1127" t="s">
        <v>441</v>
      </c>
      <c r="E987" s="1127"/>
      <c r="F987" s="1127"/>
      <c r="G987" s="1127"/>
      <c r="H987" s="1127"/>
      <c r="I987" s="1127"/>
    </row>
    <row r="990" spans="3:9" x14ac:dyDescent="0.25">
      <c r="C990" s="20" t="s">
        <v>774</v>
      </c>
    </row>
    <row r="992" spans="3:9" x14ac:dyDescent="0.25">
      <c r="C992" s="20" t="s">
        <v>775</v>
      </c>
    </row>
    <row r="994" spans="3:15" x14ac:dyDescent="0.25">
      <c r="C994" s="20" t="s">
        <v>776</v>
      </c>
    </row>
    <row r="996" spans="3:15" x14ac:dyDescent="0.25">
      <c r="C996" s="20" t="s">
        <v>782</v>
      </c>
      <c r="G996" s="39">
        <v>1800</v>
      </c>
      <c r="H996" s="39" t="s">
        <v>43</v>
      </c>
      <c r="I996" s="303">
        <v>0.2</v>
      </c>
      <c r="J996" s="39" t="s">
        <v>42</v>
      </c>
      <c r="K996" s="353">
        <f>G996*I996</f>
        <v>360</v>
      </c>
      <c r="L996" s="39" t="s">
        <v>117</v>
      </c>
      <c r="M996" s="39">
        <v>1800</v>
      </c>
      <c r="N996" s="39" t="s">
        <v>42</v>
      </c>
      <c r="O996" s="353">
        <f>K996+M996</f>
        <v>2160</v>
      </c>
    </row>
    <row r="998" spans="3:15" x14ac:dyDescent="0.25">
      <c r="I998" s="39">
        <v>1800</v>
      </c>
      <c r="J998" s="39" t="s">
        <v>43</v>
      </c>
      <c r="K998" s="303">
        <v>1.2</v>
      </c>
      <c r="L998" s="39" t="s">
        <v>42</v>
      </c>
      <c r="M998" s="353">
        <f>I998*K998</f>
        <v>2160</v>
      </c>
    </row>
    <row r="1000" spans="3:15" x14ac:dyDescent="0.25">
      <c r="C1000" s="20" t="s">
        <v>777</v>
      </c>
    </row>
    <row r="1002" spans="3:15" x14ac:dyDescent="0.25">
      <c r="C1002" s="20" t="s">
        <v>783</v>
      </c>
      <c r="G1002" s="39">
        <v>1000</v>
      </c>
      <c r="H1002" s="39" t="s">
        <v>43</v>
      </c>
      <c r="I1002" s="303">
        <v>0.2</v>
      </c>
      <c r="J1002" s="39" t="s">
        <v>42</v>
      </c>
      <c r="K1002" s="353">
        <f>G1002*I1002</f>
        <v>200</v>
      </c>
      <c r="L1002" s="39" t="s">
        <v>117</v>
      </c>
      <c r="M1002" s="39">
        <v>1000</v>
      </c>
      <c r="N1002" s="39" t="s">
        <v>42</v>
      </c>
      <c r="O1002" s="353">
        <f>K1002+M1002</f>
        <v>1200</v>
      </c>
    </row>
    <row r="1004" spans="3:15" x14ac:dyDescent="0.25">
      <c r="I1004" s="39">
        <v>1000</v>
      </c>
      <c r="J1004" s="39" t="s">
        <v>43</v>
      </c>
      <c r="K1004" s="303">
        <v>1.2</v>
      </c>
      <c r="L1004" s="39" t="s">
        <v>42</v>
      </c>
      <c r="M1004" s="353">
        <f>I1004*K1004</f>
        <v>1200</v>
      </c>
    </row>
    <row r="1007" spans="3:15" x14ac:dyDescent="0.25">
      <c r="C1007" s="20" t="s">
        <v>781</v>
      </c>
    </row>
    <row r="1009" spans="3:12" x14ac:dyDescent="0.25">
      <c r="D1009" s="39" t="s">
        <v>784</v>
      </c>
      <c r="E1009" s="39"/>
      <c r="F1009" s="39" t="s">
        <v>785</v>
      </c>
      <c r="G1009" s="39" t="s">
        <v>43</v>
      </c>
      <c r="H1009" s="196">
        <v>0.2</v>
      </c>
      <c r="I1009" s="39" t="s">
        <v>42</v>
      </c>
      <c r="J1009" s="305">
        <f>1000*0.2</f>
        <v>200</v>
      </c>
      <c r="K1009" s="112" t="s">
        <v>786</v>
      </c>
      <c r="L1009" s="39"/>
    </row>
    <row r="1011" spans="3:12" x14ac:dyDescent="0.25">
      <c r="C1011" s="20" t="s">
        <v>778</v>
      </c>
    </row>
    <row r="1013" spans="3:12" x14ac:dyDescent="0.25">
      <c r="E1013" s="39">
        <v>1800</v>
      </c>
      <c r="F1013" s="39" t="s">
        <v>733</v>
      </c>
      <c r="G1013" s="39">
        <v>1000</v>
      </c>
      <c r="H1013" s="39" t="s">
        <v>42</v>
      </c>
      <c r="I1013" s="305">
        <f>E1013-G1013</f>
        <v>800</v>
      </c>
      <c r="J1013" s="39"/>
    </row>
    <row r="1015" spans="3:12" x14ac:dyDescent="0.25">
      <c r="C1015" s="20" t="s">
        <v>779</v>
      </c>
    </row>
    <row r="1017" spans="3:12" x14ac:dyDescent="0.25">
      <c r="D1017" s="39" t="s">
        <v>784</v>
      </c>
      <c r="E1017" s="39">
        <v>800</v>
      </c>
      <c r="F1017" s="39" t="s">
        <v>787</v>
      </c>
      <c r="G1017" s="196">
        <v>0.2</v>
      </c>
      <c r="H1017" s="39" t="s">
        <v>42</v>
      </c>
      <c r="I1017" s="305">
        <f>800*0.2</f>
        <v>160</v>
      </c>
      <c r="J1017" s="39"/>
      <c r="K1017" s="39"/>
      <c r="L1017" s="39"/>
    </row>
    <row r="1018" spans="3:12" x14ac:dyDescent="0.25">
      <c r="D1018" s="20" t="s">
        <v>788</v>
      </c>
      <c r="I1018" s="355">
        <f>J1009</f>
        <v>200</v>
      </c>
    </row>
    <row r="1020" spans="3:12" x14ac:dyDescent="0.25">
      <c r="D1020" s="20" t="s">
        <v>789</v>
      </c>
      <c r="I1020" s="354">
        <f>SUM(I1017:I1018)</f>
        <v>360</v>
      </c>
      <c r="J1020" s="20" t="s">
        <v>790</v>
      </c>
    </row>
    <row r="1023" spans="3:12" x14ac:dyDescent="0.25">
      <c r="C1023" s="352" t="s">
        <v>780</v>
      </c>
    </row>
  </sheetData>
  <mergeCells count="301">
    <mergeCell ref="B789:J789"/>
    <mergeCell ref="D792:G792"/>
    <mergeCell ref="P764:Q764"/>
    <mergeCell ref="B763:E763"/>
    <mergeCell ref="D332:G332"/>
    <mergeCell ref="C360:G360"/>
    <mergeCell ref="B362:F362"/>
    <mergeCell ref="B363:H363"/>
    <mergeCell ref="B364:D364"/>
    <mergeCell ref="B365:D365"/>
    <mergeCell ref="B366:B367"/>
    <mergeCell ref="C366:C367"/>
    <mergeCell ref="D366:D367"/>
    <mergeCell ref="E366:E367"/>
    <mergeCell ref="F366:H366"/>
    <mergeCell ref="B397:G397"/>
    <mergeCell ref="D400:G400"/>
    <mergeCell ref="D449:F449"/>
    <mergeCell ref="D334:F334"/>
    <mergeCell ref="E456:E457"/>
    <mergeCell ref="F456:G457"/>
    <mergeCell ref="B381:E381"/>
    <mergeCell ref="B382:G382"/>
    <mergeCell ref="B383:G383"/>
    <mergeCell ref="B384:G384"/>
    <mergeCell ref="B385:H385"/>
    <mergeCell ref="I328:I329"/>
    <mergeCell ref="D289:G289"/>
    <mergeCell ref="E296:E297"/>
    <mergeCell ref="F296:F297"/>
    <mergeCell ref="G296:G297"/>
    <mergeCell ref="E303:E304"/>
    <mergeCell ref="F303:F304"/>
    <mergeCell ref="G303:G304"/>
    <mergeCell ref="C328:D329"/>
    <mergeCell ref="G328:G329"/>
    <mergeCell ref="H328:H329"/>
    <mergeCell ref="B250:J250"/>
    <mergeCell ref="D253:G253"/>
    <mergeCell ref="C255:H257"/>
    <mergeCell ref="D271:G271"/>
    <mergeCell ref="C273:H275"/>
    <mergeCell ref="F262:F263"/>
    <mergeCell ref="G262:G263"/>
    <mergeCell ref="B262:C263"/>
    <mergeCell ref="B267:C269"/>
    <mergeCell ref="E267:E268"/>
    <mergeCell ref="F267:F268"/>
    <mergeCell ref="Z140:Z142"/>
    <mergeCell ref="I141:I142"/>
    <mergeCell ref="J141:J142"/>
    <mergeCell ref="K141:K142"/>
    <mergeCell ref="L141:L142"/>
    <mergeCell ref="M141:M142"/>
    <mergeCell ref="N141:N142"/>
    <mergeCell ref="R141:R142"/>
    <mergeCell ref="S141:S142"/>
    <mergeCell ref="T141:T142"/>
    <mergeCell ref="U141:U142"/>
    <mergeCell ref="V141:V142"/>
    <mergeCell ref="W141:W142"/>
    <mergeCell ref="L140:N140"/>
    <mergeCell ref="O140:O142"/>
    <mergeCell ref="P140:P142"/>
    <mergeCell ref="Q140:Q142"/>
    <mergeCell ref="R140:T140"/>
    <mergeCell ref="D164:G164"/>
    <mergeCell ref="C138:Q138"/>
    <mergeCell ref="R138:U138"/>
    <mergeCell ref="V138:X138"/>
    <mergeCell ref="B139:E139"/>
    <mergeCell ref="F139:G139"/>
    <mergeCell ref="I139:Q139"/>
    <mergeCell ref="R139:Z139"/>
    <mergeCell ref="B140:B142"/>
    <mergeCell ref="C140:C142"/>
    <mergeCell ref="D140:D142"/>
    <mergeCell ref="E140:E142"/>
    <mergeCell ref="F140:F142"/>
    <mergeCell ref="G140:G142"/>
    <mergeCell ref="H140:H142"/>
    <mergeCell ref="I140:K140"/>
    <mergeCell ref="D147:G147"/>
    <mergeCell ref="C152:E153"/>
    <mergeCell ref="G152:G153"/>
    <mergeCell ref="D156:G156"/>
    <mergeCell ref="C159:E161"/>
    <mergeCell ref="U140:W140"/>
    <mergeCell ref="X140:X142"/>
    <mergeCell ref="Y140:Y142"/>
    <mergeCell ref="F121:H122"/>
    <mergeCell ref="E125:E126"/>
    <mergeCell ref="F125:F126"/>
    <mergeCell ref="G125:G126"/>
    <mergeCell ref="D118:G118"/>
    <mergeCell ref="B121:C122"/>
    <mergeCell ref="E121:E122"/>
    <mergeCell ref="B125:C126"/>
    <mergeCell ref="C114:C115"/>
    <mergeCell ref="D114:D115"/>
    <mergeCell ref="E114:E115"/>
    <mergeCell ref="G114:G115"/>
    <mergeCell ref="H114:H115"/>
    <mergeCell ref="B105:J105"/>
    <mergeCell ref="D108:G108"/>
    <mergeCell ref="E111:E112"/>
    <mergeCell ref="B111:C112"/>
    <mergeCell ref="D111:D112"/>
    <mergeCell ref="B37:J37"/>
    <mergeCell ref="B56:J56"/>
    <mergeCell ref="D92:G92"/>
    <mergeCell ref="C89:D89"/>
    <mergeCell ref="E81:F81"/>
    <mergeCell ref="E82:F82"/>
    <mergeCell ref="E83:F83"/>
    <mergeCell ref="E84:F84"/>
    <mergeCell ref="E85:F85"/>
    <mergeCell ref="E86:F86"/>
    <mergeCell ref="E87:F87"/>
    <mergeCell ref="E88:F88"/>
    <mergeCell ref="E89:F89"/>
    <mergeCell ref="C83:D83"/>
    <mergeCell ref="C84:D84"/>
    <mergeCell ref="C85:D85"/>
    <mergeCell ref="C86:D86"/>
    <mergeCell ref="C88:D88"/>
    <mergeCell ref="C87:D87"/>
    <mergeCell ref="G42:G43"/>
    <mergeCell ref="H42:H43"/>
    <mergeCell ref="F74:G74"/>
    <mergeCell ref="F75:G75"/>
    <mergeCell ref="C81:D81"/>
    <mergeCell ref="C82:D82"/>
    <mergeCell ref="D78:G78"/>
    <mergeCell ref="C73:D73"/>
    <mergeCell ref="C74:D74"/>
    <mergeCell ref="C75:D75"/>
    <mergeCell ref="F68:G68"/>
    <mergeCell ref="F69:G69"/>
    <mergeCell ref="F70:G70"/>
    <mergeCell ref="F71:G71"/>
    <mergeCell ref="C68:D68"/>
    <mergeCell ref="C70:D70"/>
    <mergeCell ref="C69:D69"/>
    <mergeCell ref="C71:D71"/>
    <mergeCell ref="C72:D72"/>
    <mergeCell ref="B135:J135"/>
    <mergeCell ref="E4:F4"/>
    <mergeCell ref="H4:I4"/>
    <mergeCell ref="F6:G6"/>
    <mergeCell ref="C8:D8"/>
    <mergeCell ref="F8:G8"/>
    <mergeCell ref="D10:E11"/>
    <mergeCell ref="G10:H10"/>
    <mergeCell ref="G11:H11"/>
    <mergeCell ref="E13:F13"/>
    <mergeCell ref="F15:G15"/>
    <mergeCell ref="E17:F17"/>
    <mergeCell ref="E40:G40"/>
    <mergeCell ref="F72:G72"/>
    <mergeCell ref="F73:G73"/>
    <mergeCell ref="I42:I43"/>
    <mergeCell ref="J42:J43"/>
    <mergeCell ref="I41:J41"/>
    <mergeCell ref="D59:G59"/>
    <mergeCell ref="C41:C43"/>
    <mergeCell ref="D41:D43"/>
    <mergeCell ref="E41:E43"/>
    <mergeCell ref="F41:F43"/>
    <mergeCell ref="G41:H41"/>
    <mergeCell ref="D171:F171"/>
    <mergeCell ref="C174:E178"/>
    <mergeCell ref="G174:G178"/>
    <mergeCell ref="C180:E180"/>
    <mergeCell ref="C182:E182"/>
    <mergeCell ref="D185:F185"/>
    <mergeCell ref="C191:E191"/>
    <mergeCell ref="D205:F205"/>
    <mergeCell ref="D194:F194"/>
    <mergeCell ref="C197:E197"/>
    <mergeCell ref="D200:F200"/>
    <mergeCell ref="D244:F244"/>
    <mergeCell ref="D234:F234"/>
    <mergeCell ref="C236:D237"/>
    <mergeCell ref="G236:G237"/>
    <mergeCell ref="D239:F239"/>
    <mergeCell ref="C207:D208"/>
    <mergeCell ref="D214:F214"/>
    <mergeCell ref="C220:E221"/>
    <mergeCell ref="D224:F224"/>
    <mergeCell ref="D211:G211"/>
    <mergeCell ref="C230:D232"/>
    <mergeCell ref="B386:B387"/>
    <mergeCell ref="C386:C387"/>
    <mergeCell ref="D386:D387"/>
    <mergeCell ref="E386:E387"/>
    <mergeCell ref="F386:H386"/>
    <mergeCell ref="B395:E395"/>
    <mergeCell ref="B396:G396"/>
    <mergeCell ref="E465:E466"/>
    <mergeCell ref="D465:D466"/>
    <mergeCell ref="G465:G466"/>
    <mergeCell ref="H465:H466"/>
    <mergeCell ref="D549:F549"/>
    <mergeCell ref="D582:G583"/>
    <mergeCell ref="D587:G588"/>
    <mergeCell ref="D592:G593"/>
    <mergeCell ref="J470:J471"/>
    <mergeCell ref="E490:E491"/>
    <mergeCell ref="G490:G491"/>
    <mergeCell ref="H490:H491"/>
    <mergeCell ref="D502:G503"/>
    <mergeCell ref="D524:G525"/>
    <mergeCell ref="D529:G530"/>
    <mergeCell ref="D534:G535"/>
    <mergeCell ref="D537:G538"/>
    <mergeCell ref="D470:D471"/>
    <mergeCell ref="E470:E471"/>
    <mergeCell ref="G470:G471"/>
    <mergeCell ref="H470:H471"/>
    <mergeCell ref="I470:I471"/>
    <mergeCell ref="E542:E543"/>
    <mergeCell ref="F542:F543"/>
    <mergeCell ref="G542:G543"/>
    <mergeCell ref="D546:G546"/>
    <mergeCell ref="D595:G596"/>
    <mergeCell ref="E600:E601"/>
    <mergeCell ref="F600:F601"/>
    <mergeCell ref="G600:G601"/>
    <mergeCell ref="E630:E631"/>
    <mergeCell ref="F630:F631"/>
    <mergeCell ref="G630:G631"/>
    <mergeCell ref="D567:F567"/>
    <mergeCell ref="D551:F551"/>
    <mergeCell ref="D701:F701"/>
    <mergeCell ref="D714:F714"/>
    <mergeCell ref="D730:F730"/>
    <mergeCell ref="D737:G737"/>
    <mergeCell ref="B671:J671"/>
    <mergeCell ref="D638:F638"/>
    <mergeCell ref="E645:E646"/>
    <mergeCell ref="F645:F646"/>
    <mergeCell ref="G645:G646"/>
    <mergeCell ref="E653:E654"/>
    <mergeCell ref="F653:F654"/>
    <mergeCell ref="G653:G654"/>
    <mergeCell ref="E663:E664"/>
    <mergeCell ref="F663:F664"/>
    <mergeCell ref="G663:G664"/>
    <mergeCell ref="D674:G674"/>
    <mergeCell ref="F684:F685"/>
    <mergeCell ref="G684:H685"/>
    <mergeCell ref="F688:F689"/>
    <mergeCell ref="G688:H689"/>
    <mergeCell ref="F692:F693"/>
    <mergeCell ref="G692:H693"/>
    <mergeCell ref="D699:G699"/>
    <mergeCell ref="E884:E885"/>
    <mergeCell ref="F884:F885"/>
    <mergeCell ref="G884:G885"/>
    <mergeCell ref="H884:H885"/>
    <mergeCell ref="I884:I885"/>
    <mergeCell ref="D819:G819"/>
    <mergeCell ref="D836:G836"/>
    <mergeCell ref="C846:H846"/>
    <mergeCell ref="C854:H854"/>
    <mergeCell ref="D861:I861"/>
    <mergeCell ref="E874:E875"/>
    <mergeCell ref="F874:F875"/>
    <mergeCell ref="G874:G875"/>
    <mergeCell ref="H874:H875"/>
    <mergeCell ref="I874:I875"/>
    <mergeCell ref="E879:E880"/>
    <mergeCell ref="F879:F880"/>
    <mergeCell ref="G879:G880"/>
    <mergeCell ref="H879:H880"/>
    <mergeCell ref="I879:I880"/>
    <mergeCell ref="D902:G902"/>
    <mergeCell ref="E888:G888"/>
    <mergeCell ref="D911:G911"/>
    <mergeCell ref="E946:E947"/>
    <mergeCell ref="F946:G946"/>
    <mergeCell ref="F947:G947"/>
    <mergeCell ref="H946:H947"/>
    <mergeCell ref="D932:G932"/>
    <mergeCell ref="D933:F933"/>
    <mergeCell ref="D972:G972"/>
    <mergeCell ref="D987:I987"/>
    <mergeCell ref="I946:J947"/>
    <mergeCell ref="K946:L947"/>
    <mergeCell ref="D950:I950"/>
    <mergeCell ref="D953:I953"/>
    <mergeCell ref="D964:I964"/>
    <mergeCell ref="D967:D968"/>
    <mergeCell ref="E967:E968"/>
    <mergeCell ref="F967:F968"/>
    <mergeCell ref="G967:G968"/>
    <mergeCell ref="H967:H968"/>
    <mergeCell ref="I967:I968"/>
    <mergeCell ref="K967:K968"/>
    <mergeCell ref="L967:L968"/>
  </mergeCells>
  <phoneticPr fontId="8" type="noConversion"/>
  <pageMargins left="0.7" right="0.7" top="0.75" bottom="0.75" header="0.3" footer="0.3"/>
  <pageSetup paperSize="9" orientation="portrait" r:id="rId1"/>
  <ignoredErrors>
    <ignoredError sqref="D98" twoDigitTextYear="1"/>
  </ignoredErrors>
  <drawing r:id="rId2"/>
  <legacyDrawing r:id="rId3"/>
  <oleObjects>
    <mc:AlternateContent xmlns:mc="http://schemas.openxmlformats.org/markup-compatibility/2006">
      <mc:Choice Requires="x14">
        <oleObject progId="Excel.Sheet.8" shapeId="1030" r:id="rId4">
          <objectPr defaultSize="0" autoPict="0" r:id="rId5">
            <anchor moveWithCells="1" sizeWithCells="1">
              <from>
                <xdr:col>3</xdr:col>
                <xdr:colOff>762000</xdr:colOff>
                <xdr:row>18</xdr:row>
                <xdr:rowOff>142875</xdr:rowOff>
              </from>
              <to>
                <xdr:col>6</xdr:col>
                <xdr:colOff>323850</xdr:colOff>
                <xdr:row>32</xdr:row>
                <xdr:rowOff>95250</xdr:rowOff>
              </to>
            </anchor>
          </objectPr>
        </oleObject>
      </mc:Choice>
      <mc:Fallback>
        <oleObject progId="Excel.Sheet.8" shapeId="1030"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702E-FCEA-4CD2-8BB8-03885EBC6C3C}">
  <sheetPr codeName="Feuil1"/>
  <dimension ref="A1:H94"/>
  <sheetViews>
    <sheetView view="pageLayout" zoomScaleNormal="100" workbookViewId="0">
      <selection activeCell="E13" sqref="E13"/>
    </sheetView>
  </sheetViews>
  <sheetFormatPr baseColWidth="10" defaultRowHeight="15" x14ac:dyDescent="0.25"/>
  <cols>
    <col min="8" max="8" width="19" customWidth="1"/>
  </cols>
  <sheetData>
    <row r="1" spans="1:8" x14ac:dyDescent="0.25">
      <c r="A1" s="1277" t="s">
        <v>40</v>
      </c>
      <c r="B1" s="1278"/>
      <c r="C1" s="1278"/>
      <c r="D1" s="1278"/>
      <c r="E1" s="1278"/>
      <c r="F1" s="1278"/>
      <c r="G1" s="1278"/>
      <c r="H1" s="1278"/>
    </row>
    <row r="2" spans="1:8" x14ac:dyDescent="0.25">
      <c r="A2" s="1278"/>
      <c r="B2" s="1278"/>
      <c r="C2" s="1278"/>
      <c r="D2" s="1278"/>
      <c r="E2" s="1278"/>
      <c r="F2" s="1278"/>
      <c r="G2" s="1278"/>
      <c r="H2" s="1278"/>
    </row>
    <row r="3" spans="1:8" x14ac:dyDescent="0.25">
      <c r="A3" s="1278"/>
      <c r="B3" s="1278"/>
      <c r="C3" s="1278"/>
      <c r="D3" s="1278"/>
      <c r="E3" s="1278"/>
      <c r="F3" s="1278"/>
      <c r="G3" s="1278"/>
      <c r="H3" s="1278"/>
    </row>
    <row r="4" spans="1:8" ht="15.75" x14ac:dyDescent="0.25">
      <c r="A4" s="32"/>
      <c r="B4" s="32"/>
      <c r="C4" s="32"/>
      <c r="D4" s="32"/>
      <c r="E4" s="32"/>
      <c r="F4" s="32"/>
      <c r="G4" s="32"/>
    </row>
    <row r="5" spans="1:8" ht="15.75" x14ac:dyDescent="0.25">
      <c r="A5" s="32"/>
      <c r="B5" s="32"/>
      <c r="C5" s="32"/>
      <c r="D5" s="32"/>
      <c r="E5" s="32"/>
      <c r="F5" s="32"/>
      <c r="G5" s="32"/>
    </row>
    <row r="6" spans="1:8" ht="15.75" x14ac:dyDescent="0.25">
      <c r="A6" s="32"/>
      <c r="B6" s="32"/>
      <c r="C6" s="32"/>
      <c r="D6" s="32"/>
      <c r="E6" s="32"/>
      <c r="F6" s="32"/>
      <c r="G6" s="32"/>
    </row>
    <row r="7" spans="1:8" ht="15.75" x14ac:dyDescent="0.25">
      <c r="A7" s="32"/>
      <c r="B7" s="33"/>
      <c r="C7" s="32"/>
      <c r="D7" s="32"/>
      <c r="E7" s="32"/>
      <c r="F7" s="32"/>
      <c r="G7" s="32"/>
    </row>
    <row r="8" spans="1:8" ht="15.75" x14ac:dyDescent="0.25">
      <c r="A8" s="32"/>
      <c r="B8" s="32"/>
      <c r="C8" s="32"/>
      <c r="D8" s="32"/>
      <c r="E8" s="32"/>
      <c r="F8" s="32"/>
      <c r="G8" s="32"/>
    </row>
    <row r="9" spans="1:8" ht="15.75" x14ac:dyDescent="0.25">
      <c r="A9" s="32"/>
      <c r="B9" s="32"/>
      <c r="C9" s="34"/>
      <c r="D9" s="32"/>
      <c r="E9" s="32"/>
      <c r="F9" s="32"/>
      <c r="G9" s="32"/>
    </row>
    <row r="10" spans="1:8" ht="15.75" x14ac:dyDescent="0.25">
      <c r="A10" s="32"/>
      <c r="B10" s="32"/>
      <c r="C10" s="34"/>
      <c r="D10" s="32"/>
      <c r="E10" s="32"/>
      <c r="F10" s="32"/>
      <c r="G10" s="32"/>
    </row>
    <row r="11" spans="1:8" ht="15.75" x14ac:dyDescent="0.25">
      <c r="A11" s="32"/>
      <c r="B11" s="32"/>
      <c r="C11" s="34"/>
      <c r="D11" s="32"/>
      <c r="E11" s="32"/>
      <c r="F11" s="32"/>
      <c r="G11" s="32"/>
    </row>
    <row r="12" spans="1:8" ht="15.75" x14ac:dyDescent="0.25">
      <c r="A12" s="32"/>
      <c r="B12" s="32"/>
      <c r="C12" s="34"/>
      <c r="D12" s="32"/>
      <c r="E12" s="32"/>
      <c r="F12" s="32"/>
      <c r="G12" s="32"/>
    </row>
    <row r="13" spans="1:8" ht="15.75" x14ac:dyDescent="0.25">
      <c r="A13" s="32"/>
      <c r="B13" s="32"/>
      <c r="C13" s="32"/>
      <c r="D13" s="32"/>
      <c r="E13" s="32"/>
      <c r="F13" s="32"/>
      <c r="G13" s="32"/>
    </row>
    <row r="14" spans="1:8" ht="15.75" x14ac:dyDescent="0.25">
      <c r="A14" s="32"/>
      <c r="B14" s="32"/>
      <c r="C14" s="32"/>
      <c r="D14" s="32"/>
      <c r="E14" s="32"/>
      <c r="F14" s="32"/>
      <c r="G14" s="32"/>
    </row>
    <row r="15" spans="1:8" ht="15.75" x14ac:dyDescent="0.25">
      <c r="A15" s="32"/>
      <c r="B15" s="33"/>
      <c r="C15" s="32"/>
      <c r="D15" s="32"/>
      <c r="E15" s="32"/>
      <c r="F15" s="32"/>
      <c r="G15" s="32"/>
    </row>
    <row r="16" spans="1:8" ht="15.75" x14ac:dyDescent="0.25">
      <c r="A16" s="32"/>
      <c r="B16" s="32"/>
      <c r="C16" s="32"/>
      <c r="D16" s="32"/>
      <c r="E16" s="32"/>
      <c r="F16" s="32"/>
      <c r="G16" s="32"/>
    </row>
    <row r="17" spans="1:7" ht="15.75" x14ac:dyDescent="0.25">
      <c r="A17" s="32"/>
      <c r="B17" s="32"/>
      <c r="D17" s="32"/>
      <c r="E17" s="32"/>
      <c r="F17" s="32"/>
      <c r="G17" s="32"/>
    </row>
    <row r="18" spans="1:7" ht="15.75" x14ac:dyDescent="0.25">
      <c r="A18" s="32"/>
      <c r="B18" s="32"/>
      <c r="C18" s="32"/>
      <c r="D18" s="32"/>
      <c r="F18" s="32"/>
      <c r="G18" s="32"/>
    </row>
    <row r="19" spans="1:7" ht="15.75" x14ac:dyDescent="0.25">
      <c r="A19" s="32"/>
      <c r="B19" s="32"/>
      <c r="C19" s="32"/>
      <c r="D19" s="32"/>
      <c r="F19" s="32"/>
      <c r="G19" s="32"/>
    </row>
    <row r="20" spans="1:7" ht="15.75" x14ac:dyDescent="0.25">
      <c r="A20" s="32"/>
      <c r="B20" s="32"/>
      <c r="C20" s="32"/>
      <c r="D20" s="32"/>
      <c r="F20" s="32"/>
      <c r="G20" s="32"/>
    </row>
    <row r="21" spans="1:7" ht="15.75" x14ac:dyDescent="0.25">
      <c r="A21" s="32"/>
      <c r="B21" s="32"/>
      <c r="C21" s="32"/>
      <c r="D21" s="32"/>
      <c r="F21" s="32"/>
      <c r="G21" s="32"/>
    </row>
    <row r="22" spans="1:7" ht="15.75" x14ac:dyDescent="0.25">
      <c r="A22" s="32"/>
      <c r="B22" s="32"/>
      <c r="C22" s="32"/>
      <c r="D22" s="32"/>
      <c r="E22" s="32"/>
      <c r="F22" s="32"/>
      <c r="G22" s="32"/>
    </row>
    <row r="23" spans="1:7" ht="15.75" x14ac:dyDescent="0.25">
      <c r="A23" s="32"/>
      <c r="B23" s="32"/>
      <c r="C23" s="32"/>
      <c r="D23" s="32"/>
      <c r="E23" s="32"/>
      <c r="F23" s="32"/>
      <c r="G23" s="32"/>
    </row>
    <row r="24" spans="1:7" ht="15.75" x14ac:dyDescent="0.25">
      <c r="A24" s="32"/>
      <c r="B24" s="33"/>
      <c r="C24" s="32"/>
      <c r="D24" s="32"/>
      <c r="E24" s="32"/>
      <c r="F24" s="32"/>
      <c r="G24" s="32"/>
    </row>
    <row r="25" spans="1:7" ht="15.75" x14ac:dyDescent="0.25">
      <c r="A25" s="32"/>
      <c r="B25" s="32"/>
      <c r="C25" s="32"/>
      <c r="D25" s="32"/>
      <c r="E25" s="32"/>
      <c r="F25" s="32"/>
      <c r="G25" s="32"/>
    </row>
    <row r="26" spans="1:7" ht="15.75" x14ac:dyDescent="0.25">
      <c r="A26" s="32"/>
      <c r="B26" s="32"/>
      <c r="C26" s="32"/>
      <c r="D26" s="32"/>
      <c r="E26" s="32"/>
      <c r="F26" s="32"/>
      <c r="G26" s="32"/>
    </row>
    <row r="27" spans="1:7" ht="15.75" x14ac:dyDescent="0.25">
      <c r="A27" s="32"/>
      <c r="B27" s="32"/>
      <c r="C27" s="32"/>
      <c r="D27" s="32"/>
      <c r="E27" s="32"/>
      <c r="F27" s="32"/>
      <c r="G27" s="32"/>
    </row>
    <row r="28" spans="1:7" ht="15.75" x14ac:dyDescent="0.25">
      <c r="A28" s="32"/>
      <c r="B28" s="32"/>
      <c r="C28" s="32"/>
      <c r="D28" s="32"/>
      <c r="E28" s="32"/>
      <c r="F28" s="32"/>
      <c r="G28" s="32"/>
    </row>
    <row r="29" spans="1:7" ht="15.75" x14ac:dyDescent="0.25">
      <c r="A29" s="32"/>
      <c r="B29" s="33"/>
      <c r="C29" s="32"/>
      <c r="D29" s="32"/>
      <c r="E29" s="32"/>
      <c r="F29" s="32"/>
      <c r="G29" s="32"/>
    </row>
    <row r="30" spans="1:7" ht="15.75" x14ac:dyDescent="0.25">
      <c r="A30" s="32"/>
      <c r="B30" s="32"/>
      <c r="C30" s="32"/>
      <c r="D30" s="32"/>
      <c r="E30" s="32"/>
      <c r="F30" s="32"/>
      <c r="G30" s="32"/>
    </row>
    <row r="31" spans="1:7" ht="15.75" x14ac:dyDescent="0.25">
      <c r="A31" s="32"/>
      <c r="B31" s="32"/>
      <c r="C31" s="32"/>
      <c r="D31" s="32"/>
      <c r="E31" s="32"/>
      <c r="F31" s="32"/>
      <c r="G31" s="32"/>
    </row>
    <row r="32" spans="1:7" ht="15.75" x14ac:dyDescent="0.25">
      <c r="A32" s="32"/>
      <c r="B32" s="32"/>
      <c r="C32" s="32"/>
      <c r="D32" s="32"/>
      <c r="E32" s="32"/>
      <c r="F32" s="32"/>
      <c r="G32" s="32"/>
    </row>
    <row r="33" spans="1:7" ht="15.75" x14ac:dyDescent="0.25">
      <c r="A33" s="32"/>
      <c r="B33" s="32"/>
      <c r="C33" s="32"/>
      <c r="D33" s="32"/>
      <c r="E33" s="32"/>
      <c r="F33" s="32"/>
      <c r="G33" s="32"/>
    </row>
    <row r="34" spans="1:7" ht="15.75" x14ac:dyDescent="0.25">
      <c r="A34" s="32"/>
      <c r="B34" s="33"/>
      <c r="C34" s="32"/>
      <c r="D34" s="32"/>
      <c r="E34" s="32"/>
      <c r="F34" s="32"/>
      <c r="G34" s="32"/>
    </row>
    <row r="35" spans="1:7" ht="15.75" x14ac:dyDescent="0.25">
      <c r="A35" s="32"/>
      <c r="B35" s="33"/>
      <c r="C35" s="32"/>
      <c r="D35" s="32"/>
      <c r="E35" s="32"/>
      <c r="F35" s="32"/>
      <c r="G35" s="32"/>
    </row>
    <row r="36" spans="1:7" ht="15.75" x14ac:dyDescent="0.25">
      <c r="A36" s="32"/>
      <c r="B36" s="32"/>
      <c r="C36" s="32"/>
      <c r="D36" s="32"/>
      <c r="E36" s="32"/>
      <c r="F36" s="32"/>
      <c r="G36" s="32"/>
    </row>
    <row r="37" spans="1:7" ht="15.75" x14ac:dyDescent="0.25">
      <c r="A37" s="32"/>
      <c r="B37" s="32"/>
      <c r="C37" s="32"/>
      <c r="D37" s="32"/>
      <c r="E37" s="32"/>
      <c r="F37" s="32"/>
      <c r="G37" s="32"/>
    </row>
    <row r="38" spans="1:7" ht="15.75" x14ac:dyDescent="0.25">
      <c r="A38" s="32"/>
      <c r="B38" s="32"/>
      <c r="C38" s="32"/>
      <c r="D38" s="32"/>
      <c r="E38" s="32"/>
      <c r="F38" s="32"/>
      <c r="G38" s="32"/>
    </row>
    <row r="39" spans="1:7" ht="15.75" x14ac:dyDescent="0.25">
      <c r="A39" s="32"/>
      <c r="B39" s="33"/>
      <c r="C39" s="32"/>
      <c r="D39" s="32"/>
      <c r="E39" s="32"/>
      <c r="F39" s="32"/>
      <c r="G39" s="32"/>
    </row>
    <row r="40" spans="1:7" ht="15.75" x14ac:dyDescent="0.25">
      <c r="A40" s="32"/>
      <c r="B40" s="32"/>
      <c r="C40" s="32"/>
      <c r="D40" s="32"/>
      <c r="E40" s="32"/>
      <c r="F40" s="32"/>
      <c r="G40" s="32"/>
    </row>
    <row r="41" spans="1:7" ht="15.75" x14ac:dyDescent="0.25">
      <c r="A41" s="32"/>
      <c r="B41" s="32"/>
      <c r="C41" s="32"/>
      <c r="D41" s="32"/>
      <c r="E41" s="32"/>
      <c r="F41" s="32"/>
      <c r="G41" s="32"/>
    </row>
    <row r="42" spans="1:7" ht="15.75" x14ac:dyDescent="0.25">
      <c r="A42" s="32"/>
      <c r="B42" s="32"/>
      <c r="C42" s="32"/>
      <c r="D42" s="32"/>
      <c r="E42" s="32"/>
      <c r="F42" s="32"/>
      <c r="G42" s="32"/>
    </row>
    <row r="43" spans="1:7" ht="15.75" x14ac:dyDescent="0.25">
      <c r="A43" s="32"/>
      <c r="B43" s="32"/>
      <c r="C43" s="32"/>
      <c r="D43" s="32"/>
      <c r="E43" s="32"/>
      <c r="F43" s="32"/>
      <c r="G43" s="32"/>
    </row>
    <row r="44" spans="1:7" ht="15.75" x14ac:dyDescent="0.25">
      <c r="A44" s="32"/>
      <c r="B44" s="32"/>
      <c r="C44" s="32"/>
      <c r="D44" s="32"/>
      <c r="E44" s="32"/>
      <c r="F44" s="32"/>
      <c r="G44" s="32"/>
    </row>
    <row r="45" spans="1:7" ht="15.75" x14ac:dyDescent="0.25">
      <c r="A45" s="32"/>
      <c r="B45" s="32"/>
      <c r="C45" s="32"/>
      <c r="D45" s="32"/>
      <c r="E45" s="32"/>
      <c r="F45" s="32"/>
      <c r="G45" s="32"/>
    </row>
    <row r="46" spans="1:7" ht="15.75" x14ac:dyDescent="0.25">
      <c r="A46" s="32"/>
      <c r="B46" s="32"/>
      <c r="C46" s="32"/>
      <c r="D46" s="32"/>
      <c r="E46" s="32"/>
      <c r="F46" s="32"/>
      <c r="G46" s="32"/>
    </row>
    <row r="51" spans="1:8" ht="15.75" x14ac:dyDescent="0.25">
      <c r="A51" s="32"/>
      <c r="B51" s="33"/>
      <c r="C51" s="32"/>
      <c r="D51" s="32"/>
      <c r="E51" s="32"/>
      <c r="F51" s="32"/>
      <c r="G51" s="32"/>
      <c r="H51" s="32"/>
    </row>
    <row r="52" spans="1:8" ht="15.75" x14ac:dyDescent="0.25">
      <c r="A52" s="32"/>
      <c r="B52" s="32"/>
      <c r="C52" s="32"/>
      <c r="D52" s="32"/>
      <c r="E52" s="32"/>
      <c r="F52" s="32"/>
      <c r="G52" s="32"/>
      <c r="H52" s="32"/>
    </row>
    <row r="53" spans="1:8" ht="15.75" x14ac:dyDescent="0.25">
      <c r="A53" s="32"/>
      <c r="B53" s="32"/>
      <c r="C53" s="32"/>
      <c r="D53" s="32"/>
      <c r="E53" s="32"/>
      <c r="F53" s="32"/>
      <c r="G53" s="32"/>
      <c r="H53" s="32"/>
    </row>
    <row r="54" spans="1:8" ht="15.75" x14ac:dyDescent="0.25">
      <c r="A54" s="32"/>
      <c r="B54" s="32"/>
      <c r="C54" s="32"/>
      <c r="D54" s="32"/>
      <c r="E54" s="32"/>
      <c r="F54" s="32"/>
      <c r="G54" s="32"/>
      <c r="H54" s="32"/>
    </row>
    <row r="55" spans="1:8" ht="15.75" x14ac:dyDescent="0.25">
      <c r="A55" s="32"/>
      <c r="B55" s="32"/>
      <c r="C55" s="32"/>
      <c r="D55" s="32"/>
      <c r="E55" s="32"/>
      <c r="F55" s="32"/>
      <c r="G55" s="32"/>
      <c r="H55" s="32"/>
    </row>
    <row r="56" spans="1:8" ht="15.75" x14ac:dyDescent="0.25">
      <c r="A56" s="32"/>
      <c r="B56" s="32"/>
      <c r="C56" s="32"/>
      <c r="D56" s="32"/>
      <c r="E56" s="32"/>
      <c r="F56" s="32"/>
      <c r="G56" s="32"/>
      <c r="H56" s="32"/>
    </row>
    <row r="57" spans="1:8" ht="15.75" x14ac:dyDescent="0.25">
      <c r="A57" s="32"/>
      <c r="B57" s="33"/>
      <c r="C57" s="32"/>
      <c r="D57" s="32"/>
      <c r="E57" s="32"/>
      <c r="F57" s="32"/>
      <c r="G57" s="32"/>
      <c r="H57" s="32"/>
    </row>
    <row r="58" spans="1:8" ht="15.75" x14ac:dyDescent="0.25">
      <c r="A58" s="32"/>
      <c r="B58" s="32"/>
      <c r="C58" s="32"/>
      <c r="D58" s="32"/>
      <c r="E58" s="32"/>
      <c r="F58" s="32"/>
      <c r="G58" s="32"/>
      <c r="H58" s="32"/>
    </row>
    <row r="59" spans="1:8" ht="15.75" x14ac:dyDescent="0.25">
      <c r="A59" s="32"/>
      <c r="B59" s="32"/>
      <c r="C59" s="32"/>
      <c r="D59" s="32"/>
      <c r="E59" s="32"/>
      <c r="F59" s="32"/>
      <c r="G59" s="32"/>
      <c r="H59" s="32"/>
    </row>
    <row r="60" spans="1:8" ht="15.75" x14ac:dyDescent="0.25">
      <c r="A60" s="32"/>
      <c r="B60" s="32"/>
      <c r="C60" s="32"/>
      <c r="D60" s="32"/>
      <c r="E60" s="32"/>
      <c r="F60" s="32"/>
      <c r="G60" s="32"/>
      <c r="H60" s="32"/>
    </row>
    <row r="61" spans="1:8" ht="15.75" x14ac:dyDescent="0.25">
      <c r="A61" s="32"/>
      <c r="B61" s="32"/>
      <c r="C61" s="32"/>
      <c r="D61" s="32"/>
      <c r="E61" s="32"/>
      <c r="F61" s="32"/>
      <c r="G61" s="32"/>
      <c r="H61" s="32"/>
    </row>
    <row r="62" spans="1:8" ht="15.75" x14ac:dyDescent="0.25">
      <c r="A62" s="32"/>
      <c r="B62" s="33"/>
      <c r="C62" s="32"/>
      <c r="D62" s="32"/>
      <c r="E62" s="32"/>
      <c r="F62" s="32"/>
      <c r="G62" s="32"/>
      <c r="H62" s="32"/>
    </row>
    <row r="63" spans="1:8" ht="15.75" x14ac:dyDescent="0.25">
      <c r="A63" s="32"/>
      <c r="B63" s="32"/>
      <c r="C63" s="32"/>
      <c r="D63" s="32"/>
      <c r="E63" s="32"/>
      <c r="F63" s="32"/>
      <c r="G63" s="32"/>
      <c r="H63" s="32"/>
    </row>
    <row r="64" spans="1:8" ht="15.75" x14ac:dyDescent="0.25">
      <c r="A64" s="32"/>
      <c r="B64" s="32"/>
      <c r="C64" s="32"/>
      <c r="D64" s="32"/>
      <c r="E64" s="32"/>
      <c r="F64" s="32"/>
      <c r="G64" s="32"/>
      <c r="H64" s="32"/>
    </row>
    <row r="65" spans="1:8" ht="15.75" x14ac:dyDescent="0.25">
      <c r="A65" s="32"/>
      <c r="B65" s="32"/>
      <c r="C65" s="32"/>
      <c r="D65" s="32"/>
      <c r="E65" s="32"/>
      <c r="F65" s="32"/>
      <c r="G65" s="32"/>
      <c r="H65" s="32"/>
    </row>
    <row r="66" spans="1:8" ht="15.75" x14ac:dyDescent="0.25">
      <c r="A66" s="32"/>
      <c r="B66" s="32"/>
      <c r="C66" s="32"/>
      <c r="D66" s="32"/>
      <c r="E66" s="32"/>
      <c r="F66" s="32"/>
      <c r="G66" s="32"/>
      <c r="H66" s="32"/>
    </row>
    <row r="67" spans="1:8" ht="15.75" x14ac:dyDescent="0.25">
      <c r="A67" s="32"/>
      <c r="B67" s="32"/>
      <c r="C67" s="32"/>
      <c r="D67" s="32"/>
      <c r="E67" s="32"/>
      <c r="F67" s="32"/>
      <c r="G67" s="32"/>
      <c r="H67" s="32"/>
    </row>
    <row r="68" spans="1:8" ht="15.75" x14ac:dyDescent="0.25">
      <c r="A68" s="32"/>
      <c r="B68" s="33"/>
      <c r="C68" s="32"/>
      <c r="D68" s="32"/>
      <c r="E68" s="32"/>
      <c r="F68" s="32"/>
      <c r="G68" s="32"/>
      <c r="H68" s="32"/>
    </row>
    <row r="69" spans="1:8" ht="15.75" x14ac:dyDescent="0.25">
      <c r="A69" s="32"/>
      <c r="B69" s="32"/>
      <c r="C69" s="32"/>
      <c r="D69" s="32"/>
      <c r="E69" s="32"/>
      <c r="F69" s="32"/>
      <c r="G69" s="32"/>
      <c r="H69" s="32"/>
    </row>
    <row r="70" spans="1:8" ht="15.75" x14ac:dyDescent="0.25">
      <c r="A70" s="32"/>
      <c r="B70" s="32"/>
      <c r="C70" s="32"/>
      <c r="D70" s="32"/>
      <c r="E70" s="32"/>
      <c r="F70" s="32"/>
      <c r="G70" s="32"/>
      <c r="H70" s="32"/>
    </row>
    <row r="71" spans="1:8" ht="15.75" x14ac:dyDescent="0.25">
      <c r="A71" s="32"/>
      <c r="B71" s="32"/>
      <c r="C71" s="32"/>
      <c r="D71" s="32"/>
      <c r="E71" s="32"/>
      <c r="F71" s="32"/>
      <c r="G71" s="32"/>
      <c r="H71" s="32"/>
    </row>
    <row r="72" spans="1:8" ht="15.75" x14ac:dyDescent="0.25">
      <c r="A72" s="32"/>
      <c r="B72" s="32"/>
      <c r="C72" s="32"/>
      <c r="D72" s="32"/>
      <c r="E72" s="32"/>
      <c r="F72" s="32"/>
      <c r="G72" s="32"/>
      <c r="H72" s="32"/>
    </row>
    <row r="73" spans="1:8" ht="15.75" x14ac:dyDescent="0.25">
      <c r="A73" s="32"/>
      <c r="B73" s="32"/>
      <c r="C73" s="32"/>
      <c r="D73" s="32"/>
      <c r="E73" s="32"/>
      <c r="F73" s="32"/>
      <c r="G73" s="32"/>
      <c r="H73" s="32"/>
    </row>
    <row r="74" spans="1:8" ht="15.75" x14ac:dyDescent="0.25">
      <c r="A74" s="32"/>
      <c r="B74" s="32"/>
      <c r="C74" s="32"/>
      <c r="D74" s="32"/>
      <c r="E74" s="32"/>
      <c r="F74" s="32"/>
      <c r="G74" s="32"/>
      <c r="H74" s="32"/>
    </row>
    <row r="75" spans="1:8" ht="15.75" x14ac:dyDescent="0.25">
      <c r="A75" s="32"/>
      <c r="B75" s="32"/>
      <c r="C75" s="32"/>
      <c r="D75" s="32"/>
      <c r="E75" s="32"/>
      <c r="F75" s="32"/>
      <c r="G75" s="32"/>
      <c r="H75" s="32"/>
    </row>
    <row r="76" spans="1:8" ht="15.75" x14ac:dyDescent="0.25">
      <c r="A76" s="32"/>
      <c r="B76" s="32"/>
      <c r="C76" s="32"/>
      <c r="D76" s="32"/>
      <c r="E76" s="32"/>
      <c r="F76" s="32"/>
      <c r="G76" s="32"/>
      <c r="H76" s="32"/>
    </row>
    <row r="77" spans="1:8" ht="15.75" x14ac:dyDescent="0.25">
      <c r="A77" s="32"/>
      <c r="B77" s="32"/>
      <c r="C77" s="32"/>
      <c r="D77" s="32"/>
      <c r="E77" s="32"/>
      <c r="F77" s="32"/>
      <c r="G77" s="32"/>
      <c r="H77" s="32"/>
    </row>
    <row r="78" spans="1:8" ht="15.75" x14ac:dyDescent="0.25">
      <c r="A78" s="32"/>
      <c r="B78" s="32"/>
      <c r="C78" s="32"/>
      <c r="D78" s="32"/>
      <c r="E78" s="32"/>
      <c r="F78" s="32"/>
      <c r="G78" s="32"/>
      <c r="H78" s="32"/>
    </row>
    <row r="79" spans="1:8" ht="15.75" x14ac:dyDescent="0.25">
      <c r="A79" s="32"/>
      <c r="B79" s="32"/>
      <c r="C79" s="32"/>
      <c r="D79" s="32"/>
      <c r="E79" s="32"/>
      <c r="F79" s="32"/>
      <c r="G79" s="32"/>
      <c r="H79" s="32"/>
    </row>
    <row r="80" spans="1:8" ht="15.75" x14ac:dyDescent="0.25">
      <c r="A80" s="32"/>
      <c r="B80" s="32"/>
      <c r="C80" s="32"/>
      <c r="D80" s="32"/>
      <c r="E80" s="32"/>
      <c r="F80" s="32"/>
      <c r="G80" s="32"/>
      <c r="H80" s="32"/>
    </row>
    <row r="81" spans="1:8" ht="15.75" x14ac:dyDescent="0.25">
      <c r="A81" s="32"/>
      <c r="B81" s="32"/>
      <c r="C81" s="32"/>
      <c r="D81" s="32"/>
      <c r="E81" s="32"/>
      <c r="F81" s="32"/>
      <c r="G81" s="32"/>
      <c r="H81" s="32"/>
    </row>
    <row r="82" spans="1:8" ht="15.75" x14ac:dyDescent="0.25">
      <c r="A82" s="32"/>
      <c r="B82" s="32"/>
      <c r="C82" s="32"/>
      <c r="D82" s="32"/>
      <c r="E82" s="32"/>
      <c r="F82" s="32"/>
      <c r="G82" s="32"/>
      <c r="H82" s="32"/>
    </row>
    <row r="83" spans="1:8" ht="15.75" x14ac:dyDescent="0.25">
      <c r="A83" s="32"/>
      <c r="B83" s="32"/>
      <c r="C83" s="32"/>
      <c r="D83" s="32"/>
      <c r="E83" s="32"/>
      <c r="F83" s="32"/>
      <c r="G83" s="32"/>
      <c r="H83" s="32"/>
    </row>
    <row r="84" spans="1:8" ht="15.75" x14ac:dyDescent="0.25">
      <c r="A84" s="32"/>
      <c r="B84" s="32"/>
      <c r="C84" s="32"/>
      <c r="D84" s="32"/>
      <c r="E84" s="32"/>
      <c r="F84" s="32"/>
      <c r="G84" s="32"/>
      <c r="H84" s="32"/>
    </row>
    <row r="85" spans="1:8" ht="15.75" x14ac:dyDescent="0.25">
      <c r="A85" s="32"/>
      <c r="B85" s="32"/>
      <c r="C85" s="32"/>
      <c r="D85" s="32"/>
      <c r="E85" s="32"/>
      <c r="F85" s="32"/>
      <c r="G85" s="32"/>
      <c r="H85" s="32"/>
    </row>
    <row r="86" spans="1:8" ht="15.75" x14ac:dyDescent="0.25">
      <c r="A86" s="32"/>
      <c r="B86" s="32"/>
      <c r="C86" s="32"/>
      <c r="D86" s="32"/>
      <c r="E86" s="32"/>
      <c r="F86" s="32"/>
      <c r="G86" s="32"/>
      <c r="H86" s="32"/>
    </row>
    <row r="87" spans="1:8" ht="15.75" x14ac:dyDescent="0.25">
      <c r="A87" s="32"/>
      <c r="B87" s="32"/>
      <c r="C87" s="32"/>
      <c r="D87" s="32"/>
      <c r="E87" s="32"/>
      <c r="F87" s="32"/>
      <c r="G87" s="32"/>
      <c r="H87" s="32"/>
    </row>
    <row r="88" spans="1:8" ht="15.75" x14ac:dyDescent="0.25">
      <c r="A88" s="32"/>
      <c r="B88" s="32"/>
      <c r="C88" s="32"/>
      <c r="D88" s="32"/>
      <c r="E88" s="32"/>
      <c r="F88" s="32"/>
      <c r="G88" s="32"/>
      <c r="H88" s="32"/>
    </row>
    <row r="89" spans="1:8" ht="15.75" x14ac:dyDescent="0.25">
      <c r="A89" s="32"/>
      <c r="B89" s="32"/>
      <c r="C89" s="32"/>
      <c r="D89" s="32"/>
      <c r="E89" s="32"/>
      <c r="F89" s="32"/>
      <c r="G89" s="32"/>
      <c r="H89" s="32"/>
    </row>
    <row r="90" spans="1:8" ht="15.75" x14ac:dyDescent="0.25">
      <c r="A90" s="32"/>
      <c r="B90" s="32"/>
      <c r="C90" s="32"/>
      <c r="D90" s="32"/>
      <c r="E90" s="32"/>
      <c r="F90" s="32"/>
      <c r="G90" s="32"/>
      <c r="H90" s="32"/>
    </row>
    <row r="91" spans="1:8" ht="15.75" x14ac:dyDescent="0.25">
      <c r="A91" s="32"/>
      <c r="B91" s="32"/>
      <c r="C91" s="32"/>
      <c r="D91" s="32"/>
      <c r="E91" s="32"/>
      <c r="F91" s="32"/>
      <c r="G91" s="32"/>
      <c r="H91" s="32"/>
    </row>
    <row r="92" spans="1:8" ht="15.75" x14ac:dyDescent="0.25">
      <c r="A92" s="32"/>
      <c r="B92" s="32"/>
      <c r="C92" s="32"/>
      <c r="D92" s="32"/>
      <c r="E92" s="32"/>
      <c r="F92" s="32"/>
      <c r="G92" s="32"/>
      <c r="H92" s="32"/>
    </row>
    <row r="93" spans="1:8" ht="15.75" x14ac:dyDescent="0.25">
      <c r="A93" s="32"/>
      <c r="B93" s="32"/>
      <c r="C93" s="32"/>
      <c r="D93" s="32"/>
      <c r="E93" s="32"/>
      <c r="F93" s="32"/>
      <c r="G93" s="32"/>
      <c r="H93" s="32"/>
    </row>
    <row r="94" spans="1:8" ht="15.75" x14ac:dyDescent="0.25">
      <c r="A94" s="32"/>
      <c r="B94" s="32"/>
      <c r="C94" s="32"/>
      <c r="D94" s="32"/>
      <c r="E94" s="32"/>
      <c r="F94" s="32"/>
      <c r="G94" s="32"/>
      <c r="H94" s="32"/>
    </row>
  </sheetData>
  <mergeCells count="1">
    <mergeCell ref="A1:H3"/>
  </mergeCells>
  <pageMargins left="0.25" right="0.25"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024B-3548-414E-BB3D-A3F4ED882D38}">
  <sheetPr codeName="Feuil3"/>
  <dimension ref="A1:K50"/>
  <sheetViews>
    <sheetView view="pageLayout" zoomScaleNormal="100" workbookViewId="0">
      <selection activeCell="M25" sqref="M25"/>
    </sheetView>
  </sheetViews>
  <sheetFormatPr baseColWidth="10" defaultColWidth="11.42578125" defaultRowHeight="15" x14ac:dyDescent="0.25"/>
  <cols>
    <col min="1" max="1" width="0.85546875" style="20" customWidth="1"/>
    <col min="2" max="5" width="10.28515625" style="20" customWidth="1"/>
    <col min="6" max="6" width="8.5703125" style="20" customWidth="1"/>
    <col min="7" max="10" width="11.85546875" style="20" customWidth="1"/>
    <col min="11" max="11" width="0.7109375" style="20" customWidth="1"/>
    <col min="12" max="16384" width="11.42578125" style="20"/>
  </cols>
  <sheetData>
    <row r="1" spans="1:11" ht="3.6" customHeight="1" x14ac:dyDescent="0.25">
      <c r="A1" s="512"/>
      <c r="B1" s="512"/>
      <c r="C1" s="512"/>
      <c r="D1" s="512"/>
      <c r="E1" s="512"/>
      <c r="F1" s="513"/>
      <c r="G1" s="513"/>
      <c r="H1" s="514"/>
      <c r="I1" s="513"/>
      <c r="J1" s="513"/>
      <c r="K1" s="512"/>
    </row>
    <row r="2" spans="1:11" ht="26.45" customHeight="1" x14ac:dyDescent="0.25">
      <c r="A2" s="515"/>
      <c r="B2" s="546" t="s">
        <v>114</v>
      </c>
      <c r="C2" s="1291">
        <v>1</v>
      </c>
      <c r="D2" s="1291"/>
      <c r="E2" s="1291"/>
      <c r="F2" s="1292"/>
      <c r="G2" s="516" t="s">
        <v>21</v>
      </c>
      <c r="H2" s="517"/>
      <c r="I2" s="516" t="s">
        <v>191</v>
      </c>
      <c r="J2" s="518">
        <f ca="1">TODAY()</f>
        <v>46093</v>
      </c>
      <c r="K2" s="515"/>
    </row>
    <row r="3" spans="1:11" ht="3.6" customHeight="1" x14ac:dyDescent="0.25">
      <c r="A3" s="512"/>
      <c r="B3" s="512"/>
      <c r="C3" s="512"/>
      <c r="D3" s="512"/>
      <c r="E3" s="512"/>
      <c r="F3" s="513"/>
      <c r="G3" s="513"/>
      <c r="H3" s="514"/>
      <c r="I3" s="513"/>
      <c r="J3" s="513"/>
      <c r="K3" s="512"/>
    </row>
    <row r="4" spans="1:11" ht="19.5" customHeight="1" x14ac:dyDescent="0.25">
      <c r="A4" s="515"/>
      <c r="B4" s="1293" t="s">
        <v>849</v>
      </c>
      <c r="C4" s="1294"/>
      <c r="D4" s="1294"/>
      <c r="E4" s="1294"/>
      <c r="F4" s="1294"/>
      <c r="G4" s="1294"/>
      <c r="H4" s="1294"/>
      <c r="I4" s="1294"/>
      <c r="J4" s="1295"/>
      <c r="K4" s="515"/>
    </row>
    <row r="5" spans="1:11" ht="26.45" customHeight="1" x14ac:dyDescent="0.25">
      <c r="A5" s="515"/>
      <c r="B5" s="1296" t="s">
        <v>22</v>
      </c>
      <c r="C5" s="1297"/>
      <c r="D5" s="1297"/>
      <c r="E5" s="1297"/>
      <c r="F5" s="1298"/>
      <c r="G5" s="519">
        <v>35</v>
      </c>
      <c r="H5" s="520" t="s">
        <v>23</v>
      </c>
      <c r="I5" s="519">
        <v>5</v>
      </c>
      <c r="J5" s="520" t="s">
        <v>24</v>
      </c>
      <c r="K5" s="515"/>
    </row>
    <row r="6" spans="1:11" ht="17.45" customHeight="1" x14ac:dyDescent="0.25">
      <c r="A6" s="521"/>
      <c r="B6" s="1285" t="s">
        <v>25</v>
      </c>
      <c r="C6" s="1285"/>
      <c r="D6" s="1285"/>
      <c r="E6" s="1285"/>
      <c r="F6" s="1285"/>
      <c r="G6" s="1288" t="s">
        <v>26</v>
      </c>
      <c r="H6" s="1289"/>
      <c r="I6" s="1289"/>
      <c r="J6" s="1290"/>
      <c r="K6" s="515"/>
    </row>
    <row r="7" spans="1:11" ht="19.5" customHeight="1" x14ac:dyDescent="0.25">
      <c r="A7" s="521"/>
      <c r="B7" s="1285"/>
      <c r="C7" s="1285"/>
      <c r="D7" s="1285"/>
      <c r="E7" s="1285"/>
      <c r="F7" s="1285"/>
      <c r="G7" s="522"/>
      <c r="H7" s="522"/>
      <c r="I7" s="522"/>
      <c r="J7" s="523"/>
      <c r="K7" s="515"/>
    </row>
    <row r="8" spans="1:11" ht="4.5" customHeight="1" x14ac:dyDescent="0.25">
      <c r="A8" s="512"/>
      <c r="B8" s="512"/>
      <c r="C8" s="512"/>
      <c r="D8" s="512"/>
      <c r="E8" s="512"/>
      <c r="F8" s="513"/>
      <c r="G8" s="513"/>
      <c r="H8" s="513"/>
      <c r="I8" s="513"/>
      <c r="J8" s="513"/>
      <c r="K8" s="512"/>
    </row>
    <row r="9" spans="1:11" ht="13.5" customHeight="1" x14ac:dyDescent="0.25">
      <c r="A9" s="515"/>
      <c r="B9" s="1286" t="s">
        <v>27</v>
      </c>
      <c r="C9" s="1286"/>
      <c r="D9" s="1286"/>
      <c r="E9" s="1286"/>
      <c r="F9" s="524">
        <v>1</v>
      </c>
      <c r="G9" s="525" t="e">
        <f>VLOOKUP(G7,'ÉTUDE DE PRIX'!B69:H75,7,FALSE)*F9</f>
        <v>#N/A</v>
      </c>
      <c r="H9" s="525" t="e">
        <f>VLOOKUP(H7,'ÉTUDE DE PRIX'!B69:H75,7,FALSE)*F9</f>
        <v>#N/A</v>
      </c>
      <c r="I9" s="525" t="e">
        <f>VLOOKUP(I7,'ÉTUDE DE PRIX'!B69:H75,7,FALSE)*F9</f>
        <v>#N/A</v>
      </c>
      <c r="J9" s="525" t="e">
        <f>VLOOKUP(J7,'ÉTUDE DE PRIX'!B69:H75,7,FALSE)*F9</f>
        <v>#N/A</v>
      </c>
      <c r="K9" s="515"/>
    </row>
    <row r="10" spans="1:11" ht="13.5" customHeight="1" x14ac:dyDescent="0.25">
      <c r="A10" s="515"/>
      <c r="B10" s="1286"/>
      <c r="C10" s="1286"/>
      <c r="D10" s="1286"/>
      <c r="E10" s="1286"/>
      <c r="F10" s="21"/>
      <c r="G10" s="526"/>
      <c r="H10" s="526"/>
      <c r="I10" s="526"/>
      <c r="J10" s="526"/>
      <c r="K10" s="515"/>
    </row>
    <row r="11" spans="1:11" ht="13.5" customHeight="1" x14ac:dyDescent="0.25">
      <c r="A11" s="527"/>
      <c r="B11" s="1286" t="s">
        <v>28</v>
      </c>
      <c r="C11" s="1286"/>
      <c r="D11" s="1286"/>
      <c r="E11" s="1286"/>
      <c r="F11" s="22"/>
      <c r="G11" s="528"/>
      <c r="H11" s="528"/>
      <c r="I11" s="528"/>
      <c r="J11" s="528"/>
      <c r="K11" s="527"/>
    </row>
    <row r="12" spans="1:11" ht="13.5" customHeight="1" x14ac:dyDescent="0.25">
      <c r="A12" s="527"/>
      <c r="B12" s="1286"/>
      <c r="C12" s="1286"/>
      <c r="D12" s="1286"/>
      <c r="E12" s="1286"/>
      <c r="F12" s="24">
        <f>(IF(G5&lt;35,1,IF(G5&lt;43,(35+(G5-35)*1.25)/G5,(35+8*1.25+(G5-43)*1.5+G5))-1)*100)</f>
        <v>0</v>
      </c>
      <c r="G12" s="529" t="e">
        <f>ROUND(G9*$F$12%,2)</f>
        <v>#N/A</v>
      </c>
      <c r="H12" s="529" t="e">
        <f t="shared" ref="H12:J12" si="0">ROUND(H9*$F$12%,2)</f>
        <v>#N/A</v>
      </c>
      <c r="I12" s="529" t="e">
        <f t="shared" si="0"/>
        <v>#N/A</v>
      </c>
      <c r="J12" s="529" t="e">
        <f t="shared" si="0"/>
        <v>#N/A</v>
      </c>
      <c r="K12" s="527"/>
    </row>
    <row r="13" spans="1:11" ht="13.5" customHeight="1" x14ac:dyDescent="0.25">
      <c r="A13" s="527"/>
      <c r="B13" s="1286"/>
      <c r="C13" s="1286"/>
      <c r="D13" s="1286"/>
      <c r="E13" s="1286"/>
      <c r="F13" s="24"/>
      <c r="G13" s="530"/>
      <c r="H13" s="530"/>
      <c r="I13" s="530"/>
      <c r="J13" s="529"/>
      <c r="K13" s="527"/>
    </row>
    <row r="14" spans="1:11" ht="13.5" customHeight="1" x14ac:dyDescent="0.25">
      <c r="A14" s="527"/>
      <c r="B14" s="1286" t="s">
        <v>105</v>
      </c>
      <c r="C14" s="1286"/>
      <c r="D14" s="1286"/>
      <c r="E14" s="1286"/>
      <c r="F14" s="22"/>
      <c r="G14" s="531" t="e">
        <f>G9+G12</f>
        <v>#N/A</v>
      </c>
      <c r="H14" s="531" t="e">
        <f>H9+H12</f>
        <v>#N/A</v>
      </c>
      <c r="I14" s="531" t="e">
        <f>I9+I12</f>
        <v>#N/A</v>
      </c>
      <c r="J14" s="26" t="e">
        <f>J9+J12</f>
        <v>#N/A</v>
      </c>
      <c r="K14" s="532"/>
    </row>
    <row r="15" spans="1:11" ht="13.5" customHeight="1" x14ac:dyDescent="0.25">
      <c r="A15" s="527"/>
      <c r="B15" s="1286"/>
      <c r="C15" s="1286"/>
      <c r="D15" s="1286"/>
      <c r="E15" s="1286"/>
      <c r="F15" s="22"/>
      <c r="G15" s="528"/>
      <c r="H15" s="528"/>
      <c r="I15" s="528"/>
      <c r="J15" s="23"/>
      <c r="K15" s="533"/>
    </row>
    <row r="16" spans="1:11" ht="13.5" customHeight="1" x14ac:dyDescent="0.25">
      <c r="A16" s="527"/>
      <c r="B16" s="1286" t="s">
        <v>106</v>
      </c>
      <c r="C16" s="1286"/>
      <c r="D16" s="1286"/>
      <c r="E16" s="1286"/>
      <c r="F16" s="534">
        <v>0</v>
      </c>
      <c r="G16" s="529" t="e">
        <f>ROUND(G14*$F$16%,2)</f>
        <v>#N/A</v>
      </c>
      <c r="H16" s="529" t="e">
        <f t="shared" ref="H16:J16" si="1">ROUND(H14*$F$16%,2)</f>
        <v>#N/A</v>
      </c>
      <c r="I16" s="529" t="e">
        <f t="shared" si="1"/>
        <v>#N/A</v>
      </c>
      <c r="J16" s="25" t="e">
        <f t="shared" si="1"/>
        <v>#N/A</v>
      </c>
      <c r="K16" s="533"/>
    </row>
    <row r="17" spans="1:11" ht="13.5" customHeight="1" x14ac:dyDescent="0.25">
      <c r="A17" s="527"/>
      <c r="B17" s="1286"/>
      <c r="C17" s="1286"/>
      <c r="D17" s="1286"/>
      <c r="E17" s="1286"/>
      <c r="F17" s="22"/>
      <c r="G17" s="535"/>
      <c r="H17" s="535"/>
      <c r="I17" s="535"/>
      <c r="J17" s="536"/>
      <c r="K17" s="537"/>
    </row>
    <row r="18" spans="1:11" ht="13.5" customHeight="1" x14ac:dyDescent="0.25">
      <c r="A18" s="538"/>
      <c r="B18" s="1287" t="s">
        <v>107</v>
      </c>
      <c r="C18" s="1287"/>
      <c r="D18" s="1287"/>
      <c r="E18" s="1287"/>
      <c r="F18" s="27"/>
      <c r="G18" s="539" t="e">
        <f>G14+G16</f>
        <v>#N/A</v>
      </c>
      <c r="H18" s="539" t="e">
        <f>H14+H16</f>
        <v>#N/A</v>
      </c>
      <c r="I18" s="539" t="e">
        <f>I14+I16</f>
        <v>#N/A</v>
      </c>
      <c r="J18" s="539" t="e">
        <f>J14+J16</f>
        <v>#N/A</v>
      </c>
      <c r="K18" s="538"/>
    </row>
    <row r="19" spans="1:11" ht="13.5" customHeight="1" x14ac:dyDescent="0.25">
      <c r="A19" s="527"/>
      <c r="B19" s="1286"/>
      <c r="C19" s="1286"/>
      <c r="D19" s="1286"/>
      <c r="E19" s="1286"/>
      <c r="F19" s="22"/>
      <c r="G19" s="528"/>
      <c r="H19" s="528"/>
      <c r="I19" s="528"/>
      <c r="J19" s="528"/>
      <c r="K19" s="527"/>
    </row>
    <row r="20" spans="1:11" ht="13.5" customHeight="1" x14ac:dyDescent="0.25">
      <c r="A20" s="527"/>
      <c r="B20" s="1286" t="s">
        <v>29</v>
      </c>
      <c r="C20" s="1286"/>
      <c r="D20" s="1286"/>
      <c r="E20" s="1286"/>
      <c r="F20" s="22"/>
      <c r="G20" s="528"/>
      <c r="H20" s="528"/>
      <c r="I20" s="528"/>
      <c r="J20" s="528"/>
      <c r="K20" s="527"/>
    </row>
    <row r="21" spans="1:11" ht="13.5" customHeight="1" x14ac:dyDescent="0.25">
      <c r="A21" s="527"/>
      <c r="B21" s="1286" t="s">
        <v>30</v>
      </c>
      <c r="C21" s="1286"/>
      <c r="D21" s="1286"/>
      <c r="E21" s="1286"/>
      <c r="F21" s="28"/>
      <c r="G21" s="529" t="e">
        <f>VLOOKUP(H2,'ÉTUDE DE PRIX'!C96:G101,3,FALSE)</f>
        <v>#N/A</v>
      </c>
      <c r="H21" s="529" t="e">
        <f>VLOOKUP(H2,'ÉTUDE DE PRIX'!C96:G101,3,FALSE)</f>
        <v>#N/A</v>
      </c>
      <c r="I21" s="529" t="e">
        <f>VLOOKUP(H2,'ÉTUDE DE PRIX'!C96:G101,3,FALSE)</f>
        <v>#N/A</v>
      </c>
      <c r="J21" s="529" t="e">
        <f>VLOOKUP(H2,'ÉTUDE DE PRIX'!C96:G101,3,FALSE)</f>
        <v>#N/A</v>
      </c>
      <c r="K21" s="527"/>
    </row>
    <row r="22" spans="1:11" ht="13.5" customHeight="1" x14ac:dyDescent="0.25">
      <c r="A22" s="527"/>
      <c r="B22" s="1286" t="s">
        <v>31</v>
      </c>
      <c r="C22" s="1286"/>
      <c r="D22" s="1286"/>
      <c r="E22" s="1286"/>
      <c r="F22" s="28"/>
      <c r="G22" s="529" t="e">
        <f>VLOOKUP(H2,'ÉTUDE DE PRIX'!C96:G101,4,FALSE)</f>
        <v>#N/A</v>
      </c>
      <c r="H22" s="529" t="e">
        <f>VLOOKUP(H2,'ÉTUDE DE PRIX'!C96:G101,4,FALSE)</f>
        <v>#N/A</v>
      </c>
      <c r="I22" s="529" t="e">
        <f>VLOOKUP(H2,'ÉTUDE DE PRIX'!C96:G101,4,FALSE)</f>
        <v>#N/A</v>
      </c>
      <c r="J22" s="529" t="e">
        <f>VLOOKUP(H2,'ÉTUDE DE PRIX'!C96:G101,4,FALSE)</f>
        <v>#N/A</v>
      </c>
      <c r="K22" s="527"/>
    </row>
    <row r="23" spans="1:11" ht="13.5" customHeight="1" x14ac:dyDescent="0.25">
      <c r="A23" s="527"/>
      <c r="B23" s="1286" t="s">
        <v>32</v>
      </c>
      <c r="C23" s="1286"/>
      <c r="D23" s="1286"/>
      <c r="E23" s="1286"/>
      <c r="F23" s="28"/>
      <c r="G23" s="530" t="e">
        <f>VLOOKUP(H2,'ÉTUDE DE PRIX'!C96:G101,5,FALSE)</f>
        <v>#N/A</v>
      </c>
      <c r="H23" s="530" t="e">
        <f>VLOOKUP(H2,'ÉTUDE DE PRIX'!C96:G101,5,FALSE)</f>
        <v>#N/A</v>
      </c>
      <c r="I23" s="530" t="e">
        <f>VLOOKUP(H2,'ÉTUDE DE PRIX'!C96:G101,5,FALSE)</f>
        <v>#N/A</v>
      </c>
      <c r="J23" s="530" t="e">
        <f>VLOOKUP(H2,'ÉTUDE DE PRIX'!C96:G101,5,FALSE)</f>
        <v>#N/A</v>
      </c>
      <c r="K23" s="527"/>
    </row>
    <row r="24" spans="1:11" ht="13.5" customHeight="1" x14ac:dyDescent="0.25">
      <c r="A24" s="538"/>
      <c r="B24" s="1287" t="s">
        <v>33</v>
      </c>
      <c r="C24" s="1287"/>
      <c r="D24" s="1287"/>
      <c r="E24" s="1287"/>
      <c r="F24" s="29"/>
      <c r="G24" s="540" t="e">
        <f>SUM(G21:G23)</f>
        <v>#N/A</v>
      </c>
      <c r="H24" s="540" t="e">
        <f>SUM(H21:H23)</f>
        <v>#N/A</v>
      </c>
      <c r="I24" s="540" t="e">
        <f>SUM(I21:I23)</f>
        <v>#N/A</v>
      </c>
      <c r="J24" s="540" t="e">
        <f>SUM(J21:J23)</f>
        <v>#N/A</v>
      </c>
      <c r="K24" s="538"/>
    </row>
    <row r="25" spans="1:11" ht="13.5" customHeight="1" x14ac:dyDescent="0.25">
      <c r="A25" s="527"/>
      <c r="B25" s="1286"/>
      <c r="C25" s="1286"/>
      <c r="D25" s="1286"/>
      <c r="E25" s="1286"/>
      <c r="F25" s="22"/>
      <c r="G25" s="528"/>
      <c r="H25" s="528"/>
      <c r="I25" s="528"/>
      <c r="J25" s="528"/>
      <c r="K25" s="527"/>
    </row>
    <row r="26" spans="1:11" ht="13.5" customHeight="1" x14ac:dyDescent="0.25">
      <c r="A26" s="527"/>
      <c r="B26" s="1286"/>
      <c r="C26" s="1286"/>
      <c r="D26" s="1286"/>
      <c r="E26" s="1286"/>
      <c r="F26" s="30"/>
      <c r="G26" s="528"/>
      <c r="H26" s="528"/>
      <c r="I26" s="528"/>
      <c r="J26" s="528"/>
      <c r="K26" s="527"/>
    </row>
    <row r="27" spans="1:11" ht="13.5" customHeight="1" x14ac:dyDescent="0.25">
      <c r="A27" s="527"/>
      <c r="B27" s="1286" t="s">
        <v>108</v>
      </c>
      <c r="C27" s="1286"/>
      <c r="D27" s="1286"/>
      <c r="E27" s="1286"/>
      <c r="F27" s="28"/>
      <c r="G27" s="528" t="e">
        <f>IF($G$5="","",ROUND(SUM($G$21:$G$23)*$I$5/$G$5,2))</f>
        <v>#N/A</v>
      </c>
      <c r="H27" s="528" t="e">
        <f t="shared" ref="H27:J27" si="2">IF($G$5="","",ROUND(SUM($G$21:$G$23)*$I$5/$G$5,2))</f>
        <v>#N/A</v>
      </c>
      <c r="I27" s="528" t="e">
        <f t="shared" si="2"/>
        <v>#N/A</v>
      </c>
      <c r="J27" s="528" t="e">
        <f t="shared" si="2"/>
        <v>#N/A</v>
      </c>
      <c r="K27" s="527"/>
    </row>
    <row r="28" spans="1:11" ht="13.5" customHeight="1" x14ac:dyDescent="0.25">
      <c r="A28" s="527"/>
      <c r="B28" s="1286"/>
      <c r="C28" s="1286"/>
      <c r="D28" s="1286"/>
      <c r="E28" s="1286"/>
      <c r="F28" s="22"/>
      <c r="G28" s="541"/>
      <c r="H28" s="541"/>
      <c r="I28" s="541"/>
      <c r="J28" s="541"/>
      <c r="K28" s="527"/>
    </row>
    <row r="29" spans="1:11" ht="13.5" customHeight="1" x14ac:dyDescent="0.25">
      <c r="A29" s="527"/>
      <c r="B29" s="1286" t="s">
        <v>34</v>
      </c>
      <c r="C29" s="1286"/>
      <c r="D29" s="1286"/>
      <c r="E29" s="1286"/>
      <c r="F29" s="22"/>
      <c r="G29" s="541"/>
      <c r="H29" s="541"/>
      <c r="I29" s="541"/>
      <c r="J29" s="541"/>
      <c r="K29" s="527"/>
    </row>
    <row r="30" spans="1:11" ht="13.5" customHeight="1" x14ac:dyDescent="0.25">
      <c r="A30" s="527"/>
      <c r="B30" s="1286" t="s">
        <v>35</v>
      </c>
      <c r="C30" s="1286"/>
      <c r="D30" s="1286"/>
      <c r="E30" s="1286"/>
      <c r="F30" s="22"/>
      <c r="G30" s="541"/>
      <c r="H30" s="541"/>
      <c r="I30" s="541"/>
      <c r="J30" s="541"/>
      <c r="K30" s="527"/>
    </row>
    <row r="31" spans="1:11" ht="13.5" customHeight="1" x14ac:dyDescent="0.25">
      <c r="A31" s="527"/>
      <c r="B31" s="1286"/>
      <c r="C31" s="1286"/>
      <c r="D31" s="1286"/>
      <c r="E31" s="1286"/>
      <c r="F31" s="22"/>
      <c r="G31" s="535"/>
      <c r="H31" s="535"/>
      <c r="I31" s="535"/>
      <c r="J31" s="535"/>
      <c r="K31" s="527"/>
    </row>
    <row r="32" spans="1:11" ht="13.5" customHeight="1" x14ac:dyDescent="0.25">
      <c r="A32" s="527"/>
      <c r="B32" s="1287" t="s">
        <v>109</v>
      </c>
      <c r="C32" s="1287"/>
      <c r="D32" s="1287"/>
      <c r="E32" s="1287"/>
      <c r="F32" s="27"/>
      <c r="G32" s="539" t="e">
        <f>SUM(G27:G31)</f>
        <v>#N/A</v>
      </c>
      <c r="H32" s="539" t="e">
        <f>SUM(H27:H31)</f>
        <v>#N/A</v>
      </c>
      <c r="I32" s="539" t="e">
        <f>SUM(I27:I31)</f>
        <v>#N/A</v>
      </c>
      <c r="J32" s="539" t="e">
        <f>SUM(J27:J31)</f>
        <v>#N/A</v>
      </c>
      <c r="K32" s="527"/>
    </row>
    <row r="33" spans="1:11" ht="13.5" customHeight="1" x14ac:dyDescent="0.25">
      <c r="A33" s="527"/>
      <c r="B33" s="1286"/>
      <c r="C33" s="1286"/>
      <c r="D33" s="1286"/>
      <c r="E33" s="1286"/>
      <c r="F33" s="22"/>
      <c r="G33" s="528"/>
      <c r="H33" s="528"/>
      <c r="I33" s="528"/>
      <c r="J33" s="528"/>
      <c r="K33" s="527"/>
    </row>
    <row r="34" spans="1:11" ht="13.5" customHeight="1" x14ac:dyDescent="0.25">
      <c r="A34" s="527"/>
      <c r="B34" s="1286"/>
      <c r="C34" s="1286"/>
      <c r="D34" s="1286"/>
      <c r="E34" s="1286"/>
      <c r="F34" s="22"/>
      <c r="G34" s="528"/>
      <c r="H34" s="528"/>
      <c r="I34" s="528"/>
      <c r="J34" s="528"/>
      <c r="K34" s="527"/>
    </row>
    <row r="35" spans="1:11" ht="13.5" customHeight="1" x14ac:dyDescent="0.25">
      <c r="A35" s="527"/>
      <c r="B35" s="1286"/>
      <c r="C35" s="1286"/>
      <c r="D35" s="1286"/>
      <c r="E35" s="1286"/>
      <c r="F35" s="22"/>
      <c r="G35" s="528"/>
      <c r="H35" s="528"/>
      <c r="I35" s="528"/>
      <c r="J35" s="528"/>
      <c r="K35" s="527"/>
    </row>
    <row r="36" spans="1:11" ht="13.5" customHeight="1" x14ac:dyDescent="0.25">
      <c r="A36" s="527"/>
      <c r="B36" s="1286" t="s">
        <v>36</v>
      </c>
      <c r="C36" s="1286"/>
      <c r="D36" s="1286"/>
      <c r="E36" s="1286"/>
      <c r="F36" s="65">
        <v>80</v>
      </c>
      <c r="G36" s="528" t="e">
        <f>ROUND(G18*$F$36%,2)</f>
        <v>#N/A</v>
      </c>
      <c r="H36" s="528" t="e">
        <f>ROUND(H18*$F$36%,2)</f>
        <v>#N/A</v>
      </c>
      <c r="I36" s="528" t="e">
        <f>ROUND(I18*$F$36%,2)</f>
        <v>#N/A</v>
      </c>
      <c r="J36" s="528" t="e">
        <f>ROUND(J18*$F$36%,2)</f>
        <v>#N/A</v>
      </c>
      <c r="K36" s="527"/>
    </row>
    <row r="37" spans="1:11" ht="13.5" customHeight="1" x14ac:dyDescent="0.25">
      <c r="A37" s="527"/>
      <c r="B37" s="1286"/>
      <c r="C37" s="1286"/>
      <c r="D37" s="1286"/>
      <c r="E37" s="1286"/>
      <c r="F37" s="31"/>
      <c r="G37" s="528"/>
      <c r="H37" s="528"/>
      <c r="I37" s="528"/>
      <c r="J37" s="528"/>
      <c r="K37" s="527"/>
    </row>
    <row r="38" spans="1:11" ht="13.5" customHeight="1" x14ac:dyDescent="0.25">
      <c r="A38" s="527"/>
      <c r="B38" s="1286" t="s">
        <v>110</v>
      </c>
      <c r="C38" s="1286"/>
      <c r="D38" s="1286"/>
      <c r="E38" s="1286"/>
      <c r="F38" s="65">
        <v>56</v>
      </c>
      <c r="G38" s="528" t="e">
        <f>ROUND(G32*$F$38%,2)</f>
        <v>#N/A</v>
      </c>
      <c r="H38" s="528" t="e">
        <f>ROUND(H32*$F$38%,2)</f>
        <v>#N/A</v>
      </c>
      <c r="I38" s="528" t="e">
        <f>ROUND(I32*$F$38%,2)</f>
        <v>#N/A</v>
      </c>
      <c r="J38" s="528" t="e">
        <f>ROUND(J32*$F$38%,2)</f>
        <v>#N/A</v>
      </c>
      <c r="K38" s="527"/>
    </row>
    <row r="39" spans="1:11" ht="13.5" customHeight="1" x14ac:dyDescent="0.25">
      <c r="A39" s="527"/>
      <c r="B39" s="1286"/>
      <c r="C39" s="1286"/>
      <c r="D39" s="1286"/>
      <c r="E39" s="1286"/>
      <c r="F39" s="22"/>
      <c r="G39" s="535"/>
      <c r="H39" s="535"/>
      <c r="I39" s="535"/>
      <c r="J39" s="535"/>
      <c r="K39" s="527"/>
    </row>
    <row r="40" spans="1:11" ht="13.5" customHeight="1" x14ac:dyDescent="0.25">
      <c r="A40" s="527"/>
      <c r="B40" s="1286" t="s">
        <v>111</v>
      </c>
      <c r="C40" s="1286"/>
      <c r="D40" s="1286"/>
      <c r="E40" s="1286"/>
      <c r="F40" s="22"/>
      <c r="G40" s="531" t="e">
        <f>G38+G36</f>
        <v>#N/A</v>
      </c>
      <c r="H40" s="531" t="e">
        <f>H38+H36</f>
        <v>#N/A</v>
      </c>
      <c r="I40" s="531" t="e">
        <f>I38+I36</f>
        <v>#N/A</v>
      </c>
      <c r="J40" s="531" t="e">
        <f>J38+J36</f>
        <v>#N/A</v>
      </c>
      <c r="K40" s="527"/>
    </row>
    <row r="41" spans="1:11" ht="13.5" customHeight="1" x14ac:dyDescent="0.25">
      <c r="A41" s="527"/>
      <c r="B41" s="1286"/>
      <c r="C41" s="1286"/>
      <c r="D41" s="1286"/>
      <c r="E41" s="1286"/>
      <c r="F41" s="22"/>
      <c r="G41" s="535"/>
      <c r="H41" s="535"/>
      <c r="I41" s="535"/>
      <c r="J41" s="535"/>
      <c r="K41" s="527"/>
    </row>
    <row r="42" spans="1:11" ht="13.5" customHeight="1" x14ac:dyDescent="0.25">
      <c r="A42" s="538"/>
      <c r="B42" s="1287" t="s">
        <v>37</v>
      </c>
      <c r="C42" s="1287"/>
      <c r="D42" s="1287"/>
      <c r="E42" s="1287"/>
      <c r="F42" s="27"/>
      <c r="G42" s="539" t="e">
        <f>G40+G32+G18</f>
        <v>#N/A</v>
      </c>
      <c r="H42" s="539" t="e">
        <f>H40+H32+H18</f>
        <v>#N/A</v>
      </c>
      <c r="I42" s="539" t="e">
        <f>I40+I32+I18</f>
        <v>#N/A</v>
      </c>
      <c r="J42" s="539" t="e">
        <f>J40+J32+J18</f>
        <v>#N/A</v>
      </c>
      <c r="K42" s="538"/>
    </row>
    <row r="43" spans="1:11" ht="13.5" customHeight="1" x14ac:dyDescent="0.25">
      <c r="A43" s="527"/>
      <c r="B43" s="1286"/>
      <c r="C43" s="1286"/>
      <c r="D43" s="1286"/>
      <c r="E43" s="1286"/>
      <c r="F43" s="22"/>
      <c r="G43" s="535"/>
      <c r="H43" s="535"/>
      <c r="I43" s="535"/>
      <c r="J43" s="535"/>
      <c r="K43" s="527"/>
    </row>
    <row r="44" spans="1:11" ht="4.5" customHeight="1" x14ac:dyDescent="0.25">
      <c r="A44" s="512"/>
      <c r="B44" s="512"/>
      <c r="C44" s="512"/>
      <c r="D44" s="512"/>
      <c r="E44" s="512"/>
      <c r="F44" s="513"/>
      <c r="G44" s="542"/>
      <c r="H44" s="542"/>
      <c r="I44" s="542"/>
      <c r="J44" s="542"/>
      <c r="K44" s="512"/>
    </row>
    <row r="45" spans="1:11" ht="20.45" customHeight="1" x14ac:dyDescent="0.25">
      <c r="A45" s="538"/>
      <c r="B45" s="1285" t="s">
        <v>38</v>
      </c>
      <c r="C45" s="1285"/>
      <c r="D45" s="1285"/>
      <c r="E45" s="1285"/>
      <c r="F45" s="27"/>
      <c r="G45" s="543"/>
      <c r="H45" s="543"/>
      <c r="I45" s="543"/>
      <c r="J45" s="543"/>
      <c r="K45" s="538"/>
    </row>
    <row r="46" spans="1:11" ht="13.5" customHeight="1" x14ac:dyDescent="0.25">
      <c r="A46" s="527"/>
      <c r="B46" s="1286"/>
      <c r="C46" s="1286"/>
      <c r="D46" s="1286"/>
      <c r="E46" s="1286"/>
      <c r="F46" s="544"/>
      <c r="G46" s="535"/>
      <c r="H46" s="535"/>
      <c r="I46" s="535"/>
      <c r="J46" s="535"/>
      <c r="K46" s="527"/>
    </row>
    <row r="47" spans="1:11" ht="16.5" customHeight="1" x14ac:dyDescent="0.25">
      <c r="A47" s="527"/>
      <c r="B47" s="1286" t="s">
        <v>112</v>
      </c>
      <c r="C47" s="1286"/>
      <c r="D47" s="1286"/>
      <c r="E47" s="1286"/>
      <c r="F47" s="22"/>
      <c r="G47" s="545" t="e">
        <f>G42*G45</f>
        <v>#N/A</v>
      </c>
      <c r="H47" s="545" t="e">
        <f>H42*H45</f>
        <v>#N/A</v>
      </c>
      <c r="I47" s="545" t="e">
        <f>I42*I45</f>
        <v>#N/A</v>
      </c>
      <c r="J47" s="545" t="e">
        <f>J42*J45</f>
        <v>#N/A</v>
      </c>
      <c r="K47" s="527"/>
    </row>
    <row r="48" spans="1:11" ht="16.5" customHeight="1" thickBot="1" x14ac:dyDescent="0.3">
      <c r="A48" s="527"/>
      <c r="B48" s="1286" t="s">
        <v>113</v>
      </c>
      <c r="C48" s="1286"/>
      <c r="D48" s="1286"/>
      <c r="E48" s="1286"/>
      <c r="F48" s="22"/>
      <c r="G48" s="1279" t="e">
        <f>SUM(G47:J47)</f>
        <v>#N/A</v>
      </c>
      <c r="H48" s="1280"/>
      <c r="I48" s="1280"/>
      <c r="J48" s="1281"/>
      <c r="K48" s="527"/>
    </row>
    <row r="49" spans="1:11" ht="16.5" customHeight="1" thickTop="1" thickBot="1" x14ac:dyDescent="0.3">
      <c r="A49" s="527"/>
      <c r="B49" s="1287" t="s">
        <v>39</v>
      </c>
      <c r="C49" s="1287"/>
      <c r="D49" s="1287"/>
      <c r="E49" s="1287"/>
      <c r="F49" s="22"/>
      <c r="G49" s="1282" t="str">
        <f>IF(SUM(G45:J45)=0,"",ROUND(G48/SUM(G45:J45),2))</f>
        <v/>
      </c>
      <c r="H49" s="1283"/>
      <c r="I49" s="1283"/>
      <c r="J49" s="1284"/>
      <c r="K49" s="527"/>
    </row>
    <row r="50" spans="1:11" ht="5.0999999999999996" customHeight="1" thickTop="1" x14ac:dyDescent="0.25">
      <c r="A50" s="512"/>
      <c r="B50" s="512"/>
      <c r="C50" s="512"/>
      <c r="D50" s="512"/>
      <c r="E50" s="512"/>
      <c r="F50" s="513"/>
      <c r="G50" s="542"/>
      <c r="H50" s="542"/>
      <c r="I50" s="542"/>
      <c r="J50" s="542"/>
      <c r="K50" s="512"/>
    </row>
  </sheetData>
  <mergeCells count="47">
    <mergeCell ref="B9:E9"/>
    <mergeCell ref="B10:E10"/>
    <mergeCell ref="B11:E11"/>
    <mergeCell ref="B12:E12"/>
    <mergeCell ref="B13:E13"/>
    <mergeCell ref="G6:J6"/>
    <mergeCell ref="C2:F2"/>
    <mergeCell ref="B4:J4"/>
    <mergeCell ref="B5:F5"/>
    <mergeCell ref="B6:F7"/>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G48:J48"/>
    <mergeCell ref="G49:J49"/>
    <mergeCell ref="B45:E45"/>
    <mergeCell ref="B46:E46"/>
    <mergeCell ref="B47:E47"/>
    <mergeCell ref="B48:E48"/>
    <mergeCell ref="B49:E49"/>
  </mergeCells>
  <phoneticPr fontId="8" type="noConversion"/>
  <pageMargins left="0.25" right="0.25" top="0.75" bottom="0.75" header="0.3" footer="0.3"/>
  <pageSetup paperSize="9" orientation="portrait" r:id="rId1"/>
  <headerFooter>
    <oddHeader>&amp;L&amp;"Calibri,Normal"&amp;12EL RHALMANI OUSSAMA&amp;C&amp;"Calibri,Gras"&amp;20MAIN D'OEUVRE&amp;R&amp;"Calibri,Normal"&amp;12TS 424 EP</oddHeader>
    <oddFooter>&amp;C&amp;P/&amp;N</oddFooter>
  </headerFooter>
  <ignoredErrors>
    <ignoredError sqref="G9:J9" unlocked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xr:uid="{DB92D6A7-42D5-413B-87E0-56685BE58D66}">
          <x14:formula1>
            <xm:f>'ÉTUDE DE PRIX'!$C$96:$C$102</xm:f>
          </x14:formula1>
          <xm:sqref>H2</xm:sqref>
        </x14:dataValidation>
        <x14:dataValidation type="list" allowBlank="1" showInputMessage="1" showErrorMessage="1" xr:uid="{58B2DB40-7BB1-46BD-9191-35945E067728}">
          <x14:formula1>
            <xm:f>'ÉTUDE DE PRIX'!$B$69:$B$76</xm:f>
          </x14:formula1>
          <xm:sqref>G7:J7</xm:sqref>
        </x14:dataValidation>
        <x14:dataValidation type="list" allowBlank="1" showInputMessage="1" showErrorMessage="1" xr:uid="{85AC6712-4D18-499F-B31A-67646FC53F34}">
          <x14:formula1>
            <xm:f>Notes!$C$3:$C$13</xm:f>
          </x14:formula1>
          <xm:sqref>G45:J45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E3507-3D0D-4E09-925A-76C0D671CE8E}">
  <dimension ref="A1:Z47"/>
  <sheetViews>
    <sheetView view="pageLayout" zoomScale="85" zoomScaleNormal="100" zoomScalePageLayoutView="85" workbookViewId="0">
      <selection activeCell="R20" sqref="R20"/>
    </sheetView>
  </sheetViews>
  <sheetFormatPr baseColWidth="10" defaultRowHeight="15" x14ac:dyDescent="0.25"/>
  <cols>
    <col min="1" max="1" width="25.42578125" customWidth="1"/>
    <col min="2" max="2" width="10.42578125" customWidth="1"/>
    <col min="3" max="3" width="8.5703125" customWidth="1"/>
    <col min="4" max="4" width="5.28515625" customWidth="1"/>
    <col min="5" max="5" width="4.28515625" customWidth="1"/>
    <col min="6" max="6" width="5" customWidth="1"/>
    <col min="7" max="7" width="8.42578125" customWidth="1"/>
    <col min="8" max="8" width="6.140625" customWidth="1"/>
    <col min="9" max="9" width="6.42578125" customWidth="1"/>
    <col min="10" max="10" width="7.140625" customWidth="1"/>
    <col min="11" max="11" width="5.7109375" customWidth="1"/>
    <col min="12" max="12" width="6.28515625" customWidth="1"/>
    <col min="13" max="13" width="7.85546875" customWidth="1"/>
    <col min="14" max="14" width="7.5703125" customWidth="1"/>
    <col min="15" max="15" width="6.140625" customWidth="1"/>
    <col min="16" max="16" width="8.7109375" customWidth="1"/>
    <col min="17" max="17" width="6.140625" customWidth="1"/>
    <col min="18" max="18" width="5.85546875" customWidth="1"/>
    <col min="19" max="19" width="6.5703125" customWidth="1"/>
    <col min="20" max="20" width="4.85546875" customWidth="1"/>
    <col min="21" max="21" width="7.42578125" customWidth="1"/>
    <col min="22" max="22" width="6.28515625" customWidth="1"/>
    <col min="23" max="23" width="9" customWidth="1"/>
    <col min="24" max="25" width="8.85546875" customWidth="1"/>
    <col min="26" max="26" width="11.28515625" customWidth="1"/>
  </cols>
  <sheetData>
    <row r="1" spans="1:26" ht="19.5" customHeight="1" thickTop="1" thickBot="1" x14ac:dyDescent="0.3">
      <c r="A1" s="691" t="s">
        <v>114</v>
      </c>
      <c r="B1" s="1299">
        <f>'(C.H.M) MAIN D''OEUVRE'!C2</f>
        <v>1</v>
      </c>
      <c r="C1" s="1299"/>
      <c r="D1" s="1299"/>
      <c r="E1" s="1299"/>
      <c r="F1" s="1299"/>
      <c r="G1" s="1299"/>
      <c r="H1" s="1299"/>
      <c r="I1" s="1299"/>
      <c r="J1" s="1299"/>
      <c r="K1" s="1299"/>
      <c r="L1" s="1299"/>
      <c r="M1" s="1299"/>
      <c r="N1" s="1299"/>
      <c r="O1" s="1299"/>
      <c r="P1" s="1300"/>
      <c r="Q1" s="1218" t="s">
        <v>202</v>
      </c>
      <c r="R1" s="1218"/>
      <c r="S1" s="1218"/>
      <c r="T1" s="1218"/>
      <c r="U1" s="1320">
        <v>0</v>
      </c>
      <c r="V1" s="1320"/>
      <c r="W1" s="1321"/>
      <c r="X1" s="110" t="s">
        <v>191</v>
      </c>
      <c r="Y1" s="1301">
        <f ca="1">TODAY()</f>
        <v>46093</v>
      </c>
      <c r="Z1" s="1302"/>
    </row>
    <row r="2" spans="1:26" ht="19.5" customHeight="1" thickTop="1" thickBot="1" x14ac:dyDescent="0.3">
      <c r="A2" s="1303" t="s">
        <v>176</v>
      </c>
      <c r="B2" s="1304"/>
      <c r="C2" s="1304"/>
      <c r="D2" s="1305"/>
      <c r="E2" s="1313" t="s">
        <v>175</v>
      </c>
      <c r="F2" s="1312"/>
      <c r="G2" s="373" t="s">
        <v>174</v>
      </c>
      <c r="H2" s="1322" t="s">
        <v>173</v>
      </c>
      <c r="I2" s="1323"/>
      <c r="J2" s="1323"/>
      <c r="K2" s="1323"/>
      <c r="L2" s="1323"/>
      <c r="M2" s="1323"/>
      <c r="N2" s="1323"/>
      <c r="O2" s="1323"/>
      <c r="P2" s="1324"/>
      <c r="Q2" s="1303" t="s">
        <v>172</v>
      </c>
      <c r="R2" s="1304"/>
      <c r="S2" s="1304"/>
      <c r="T2" s="1304"/>
      <c r="U2" s="1304"/>
      <c r="V2" s="1304"/>
      <c r="W2" s="1304"/>
      <c r="X2" s="1304"/>
      <c r="Y2" s="1305"/>
      <c r="Z2" s="1306" t="s">
        <v>261</v>
      </c>
    </row>
    <row r="3" spans="1:26" ht="18.95" customHeight="1" thickTop="1" thickBot="1" x14ac:dyDescent="0.3">
      <c r="A3" s="1325" t="s">
        <v>200</v>
      </c>
      <c r="B3" s="1317" t="s">
        <v>201</v>
      </c>
      <c r="C3" s="1326" t="s">
        <v>203</v>
      </c>
      <c r="D3" s="1327" t="s">
        <v>163</v>
      </c>
      <c r="E3" s="1316" t="s">
        <v>169</v>
      </c>
      <c r="F3" s="1318" t="s">
        <v>220</v>
      </c>
      <c r="G3" s="1327" t="s">
        <v>219</v>
      </c>
      <c r="H3" s="1311" t="s">
        <v>171</v>
      </c>
      <c r="I3" s="1311"/>
      <c r="J3" s="1312"/>
      <c r="K3" s="1313" t="s">
        <v>192</v>
      </c>
      <c r="L3" s="1311"/>
      <c r="M3" s="1312"/>
      <c r="N3" s="1314" t="s">
        <v>209</v>
      </c>
      <c r="O3" s="1326" t="s">
        <v>210</v>
      </c>
      <c r="P3" s="1330" t="s">
        <v>211</v>
      </c>
      <c r="Q3" s="1311" t="s">
        <v>193</v>
      </c>
      <c r="R3" s="1311"/>
      <c r="S3" s="1312"/>
      <c r="T3" s="1313" t="s">
        <v>170</v>
      </c>
      <c r="U3" s="1311"/>
      <c r="V3" s="1312"/>
      <c r="W3" s="1314" t="s">
        <v>221</v>
      </c>
      <c r="X3" s="1308" t="s">
        <v>222</v>
      </c>
      <c r="Y3" s="1306" t="s">
        <v>217</v>
      </c>
      <c r="Z3" s="1307"/>
    </row>
    <row r="4" spans="1:26" ht="18.95" customHeight="1" thickTop="1" x14ac:dyDescent="0.25">
      <c r="A4" s="1325"/>
      <c r="B4" s="1317"/>
      <c r="C4" s="1326"/>
      <c r="D4" s="1328"/>
      <c r="E4" s="1316"/>
      <c r="F4" s="1319"/>
      <c r="G4" s="1328"/>
      <c r="H4" s="1316" t="s">
        <v>205</v>
      </c>
      <c r="I4" s="1317" t="s">
        <v>206</v>
      </c>
      <c r="J4" s="1315" t="s">
        <v>107</v>
      </c>
      <c r="K4" s="1317" t="s">
        <v>207</v>
      </c>
      <c r="L4" s="1317" t="s">
        <v>208</v>
      </c>
      <c r="M4" s="1315" t="s">
        <v>107</v>
      </c>
      <c r="N4" s="1315"/>
      <c r="O4" s="1326"/>
      <c r="P4" s="1331"/>
      <c r="Q4" s="1316" t="s">
        <v>205</v>
      </c>
      <c r="R4" s="1317" t="s">
        <v>206</v>
      </c>
      <c r="S4" s="1315" t="s">
        <v>218</v>
      </c>
      <c r="T4" s="1317" t="s">
        <v>168</v>
      </c>
      <c r="U4" s="1317" t="s">
        <v>213</v>
      </c>
      <c r="V4" s="1310" t="s">
        <v>107</v>
      </c>
      <c r="W4" s="1315"/>
      <c r="X4" s="1309"/>
      <c r="Y4" s="1307"/>
      <c r="Z4" s="1307"/>
    </row>
    <row r="5" spans="1:26" ht="18.95" customHeight="1" thickBot="1" x14ac:dyDescent="0.3">
      <c r="A5" s="1325"/>
      <c r="B5" s="1317"/>
      <c r="C5" s="1326"/>
      <c r="D5" s="1329"/>
      <c r="E5" s="1316"/>
      <c r="F5" s="1319"/>
      <c r="G5" s="1328"/>
      <c r="H5" s="1316"/>
      <c r="I5" s="1317"/>
      <c r="J5" s="1315"/>
      <c r="K5" s="1317"/>
      <c r="L5" s="1317"/>
      <c r="M5" s="1315"/>
      <c r="N5" s="1315"/>
      <c r="O5" s="1326"/>
      <c r="P5" s="1331"/>
      <c r="Q5" s="1316"/>
      <c r="R5" s="1317"/>
      <c r="S5" s="1315"/>
      <c r="T5" s="1317"/>
      <c r="U5" s="1317"/>
      <c r="V5" s="1310"/>
      <c r="W5" s="1315"/>
      <c r="X5" s="1309"/>
      <c r="Y5" s="1307"/>
      <c r="Z5" s="1307"/>
    </row>
    <row r="6" spans="1:26" ht="18.95" customHeight="1" x14ac:dyDescent="0.25">
      <c r="A6" s="717"/>
      <c r="B6" s="713"/>
      <c r="C6" s="719"/>
      <c r="D6" s="723"/>
      <c r="E6" s="721"/>
      <c r="F6" s="719"/>
      <c r="G6" s="725"/>
      <c r="H6" s="721"/>
      <c r="I6" s="713"/>
      <c r="J6" s="714" t="s">
        <v>167</v>
      </c>
      <c r="K6" s="713"/>
      <c r="L6" s="713"/>
      <c r="M6" s="714" t="s">
        <v>166</v>
      </c>
      <c r="N6" s="714" t="s">
        <v>165</v>
      </c>
      <c r="O6" s="719"/>
      <c r="P6" s="725" t="s">
        <v>195</v>
      </c>
      <c r="Q6" s="721"/>
      <c r="R6" s="713"/>
      <c r="S6" s="714" t="s">
        <v>196</v>
      </c>
      <c r="T6" s="713"/>
      <c r="U6" s="713"/>
      <c r="V6" s="714" t="s">
        <v>197</v>
      </c>
      <c r="W6" s="714" t="s">
        <v>164</v>
      </c>
      <c r="X6" s="719"/>
      <c r="Y6" s="725" t="s">
        <v>198</v>
      </c>
      <c r="Z6" s="726" t="s">
        <v>1125</v>
      </c>
    </row>
    <row r="7" spans="1:26" ht="18.95" customHeight="1" thickBot="1" x14ac:dyDescent="0.3">
      <c r="A7" s="718">
        <v>1</v>
      </c>
      <c r="B7" s="715">
        <v>2</v>
      </c>
      <c r="C7" s="720">
        <v>3</v>
      </c>
      <c r="D7" s="724">
        <v>4</v>
      </c>
      <c r="E7" s="722">
        <v>5</v>
      </c>
      <c r="F7" s="720">
        <v>6</v>
      </c>
      <c r="G7" s="724">
        <v>7</v>
      </c>
      <c r="H7" s="722">
        <v>8</v>
      </c>
      <c r="I7" s="715">
        <v>9</v>
      </c>
      <c r="J7" s="716">
        <v>10</v>
      </c>
      <c r="K7" s="715">
        <v>11</v>
      </c>
      <c r="L7" s="715">
        <v>12</v>
      </c>
      <c r="M7" s="716">
        <v>13</v>
      </c>
      <c r="N7" s="716">
        <v>14</v>
      </c>
      <c r="O7" s="720">
        <v>15</v>
      </c>
      <c r="P7" s="724">
        <v>16</v>
      </c>
      <c r="Q7" s="722">
        <v>17</v>
      </c>
      <c r="R7" s="715">
        <v>18</v>
      </c>
      <c r="S7" s="716">
        <v>19</v>
      </c>
      <c r="T7" s="715">
        <v>20</v>
      </c>
      <c r="U7" s="715">
        <v>21</v>
      </c>
      <c r="V7" s="716">
        <v>22</v>
      </c>
      <c r="W7" s="716">
        <v>23</v>
      </c>
      <c r="X7" s="720">
        <v>24</v>
      </c>
      <c r="Y7" s="724">
        <v>25</v>
      </c>
      <c r="Z7" s="727">
        <v>26</v>
      </c>
    </row>
    <row r="8" spans="1:26" x14ac:dyDescent="0.25">
      <c r="A8" s="700"/>
      <c r="B8" s="701"/>
      <c r="C8" s="702"/>
      <c r="D8" s="703"/>
      <c r="E8" s="704">
        <v>0</v>
      </c>
      <c r="F8" s="705">
        <f>1+E8</f>
        <v>1</v>
      </c>
      <c r="G8" s="706"/>
      <c r="H8" s="707"/>
      <c r="I8" s="708"/>
      <c r="J8" s="709">
        <f>H8*I8</f>
        <v>0</v>
      </c>
      <c r="K8" s="708"/>
      <c r="L8" s="708"/>
      <c r="M8" s="709">
        <f>K8*L8</f>
        <v>0</v>
      </c>
      <c r="N8" s="709">
        <f>J8+M8</f>
        <v>0</v>
      </c>
      <c r="O8" s="710"/>
      <c r="P8" s="381" t="e">
        <f>ROUNDUP(IF(N8="",0,N8/O8),2)</f>
        <v>#DIV/0!</v>
      </c>
      <c r="Q8" s="707"/>
      <c r="R8" s="708"/>
      <c r="S8" s="709">
        <f>Q8*R8</f>
        <v>0</v>
      </c>
      <c r="T8" s="708"/>
      <c r="U8" s="708"/>
      <c r="V8" s="711">
        <f>T8*U8</f>
        <v>0</v>
      </c>
      <c r="W8" s="709">
        <f>S8+V8</f>
        <v>0</v>
      </c>
      <c r="X8" s="712"/>
      <c r="Y8" s="381" t="e">
        <f>ROUNDUP(W8/X8,2)</f>
        <v>#DIV/0!</v>
      </c>
      <c r="Z8" s="383" t="e">
        <f>IF(G8+Y8+P8&lt;0,"",G8+P8+Y8)</f>
        <v>#DIV/0!</v>
      </c>
    </row>
    <row r="9" spans="1:26" x14ac:dyDescent="0.25">
      <c r="A9" s="374"/>
      <c r="B9" s="375"/>
      <c r="C9" s="376"/>
      <c r="D9" s="653" t="s">
        <v>199</v>
      </c>
      <c r="E9" s="382">
        <v>0</v>
      </c>
      <c r="F9" s="655">
        <f t="shared" ref="F9" si="0">1+E9</f>
        <v>1</v>
      </c>
      <c r="G9" s="656"/>
      <c r="H9" s="377"/>
      <c r="I9" s="378"/>
      <c r="J9" s="651">
        <f t="shared" ref="J9:J45" si="1">H9*I9</f>
        <v>0</v>
      </c>
      <c r="K9" s="378"/>
      <c r="L9" s="378"/>
      <c r="M9" s="651">
        <f t="shared" ref="M9:M45" si="2">K9*L9</f>
        <v>0</v>
      </c>
      <c r="N9" s="651">
        <f t="shared" ref="N9:N45" si="3">J9+M9</f>
        <v>0</v>
      </c>
      <c r="O9" s="380"/>
      <c r="P9" s="381" t="e">
        <f>ROUNDUP(IF(N9="",0,N9/O9),2)</f>
        <v>#DIV/0!</v>
      </c>
      <c r="Q9" s="377"/>
      <c r="R9" s="378"/>
      <c r="S9" s="651">
        <f t="shared" ref="S9:S45" si="4">Q9*R9</f>
        <v>0</v>
      </c>
      <c r="T9" s="378"/>
      <c r="U9" s="378"/>
      <c r="V9" s="658">
        <f>T9*U9</f>
        <v>0</v>
      </c>
      <c r="W9" s="651">
        <f>S9+V9</f>
        <v>0</v>
      </c>
      <c r="X9" s="379"/>
      <c r="Y9" s="381" t="e">
        <f>ROUNDUP(W9/X9,2)</f>
        <v>#DIV/0!</v>
      </c>
      <c r="Z9" s="383" t="e">
        <f>IF(G9+Y9+P9&lt;0,"",G9+P9+Y9)</f>
        <v>#DIV/0!</v>
      </c>
    </row>
    <row r="10" spans="1:26" x14ac:dyDescent="0.25">
      <c r="A10" s="374"/>
      <c r="B10" s="375"/>
      <c r="C10" s="376"/>
      <c r="D10" s="653" t="s">
        <v>199</v>
      </c>
      <c r="E10" s="382">
        <v>0</v>
      </c>
      <c r="F10" s="655">
        <f t="shared" ref="F10:F46" si="5">1+E10</f>
        <v>1</v>
      </c>
      <c r="G10" s="656"/>
      <c r="H10" s="377"/>
      <c r="I10" s="378"/>
      <c r="J10" s="651">
        <f t="shared" si="1"/>
        <v>0</v>
      </c>
      <c r="K10" s="378"/>
      <c r="L10" s="378"/>
      <c r="M10" s="651">
        <f t="shared" si="2"/>
        <v>0</v>
      </c>
      <c r="N10" s="651">
        <f t="shared" si="3"/>
        <v>0</v>
      </c>
      <c r="O10" s="380"/>
      <c r="P10" s="381" t="e">
        <f t="shared" ref="P10:P45" si="6">ROUNDUP(IF(N10="",0,N10/O10),2)</f>
        <v>#DIV/0!</v>
      </c>
      <c r="Q10" s="377"/>
      <c r="R10" s="378"/>
      <c r="S10" s="651">
        <f t="shared" si="4"/>
        <v>0</v>
      </c>
      <c r="T10" s="378"/>
      <c r="U10" s="378"/>
      <c r="V10" s="658">
        <f t="shared" ref="V10:V45" si="7">T10*U10</f>
        <v>0</v>
      </c>
      <c r="W10" s="651">
        <f t="shared" ref="W10:W45" si="8">S10+V10</f>
        <v>0</v>
      </c>
      <c r="X10" s="379"/>
      <c r="Y10" s="381" t="e">
        <f t="shared" ref="Y10:Y45" si="9">ROUNDUP(W10/X10,2)</f>
        <v>#DIV/0!</v>
      </c>
      <c r="Z10" s="383" t="e">
        <f t="shared" ref="Z10:Z45" si="10">IF(G10+Y10+P10&lt;0,"",G10+P10+Y10)</f>
        <v>#DIV/0!</v>
      </c>
    </row>
    <row r="11" spans="1:26" x14ac:dyDescent="0.25">
      <c r="A11" s="374"/>
      <c r="B11" s="375"/>
      <c r="C11" s="376"/>
      <c r="D11" s="653" t="s">
        <v>199</v>
      </c>
      <c r="E11" s="382">
        <v>0</v>
      </c>
      <c r="F11" s="655">
        <f t="shared" si="5"/>
        <v>1</v>
      </c>
      <c r="G11" s="656"/>
      <c r="H11" s="377"/>
      <c r="I11" s="378"/>
      <c r="J11" s="651">
        <f t="shared" si="1"/>
        <v>0</v>
      </c>
      <c r="K11" s="378"/>
      <c r="L11" s="378"/>
      <c r="M11" s="651">
        <f t="shared" si="2"/>
        <v>0</v>
      </c>
      <c r="N11" s="651">
        <f t="shared" si="3"/>
        <v>0</v>
      </c>
      <c r="O11" s="380"/>
      <c r="P11" s="381" t="e">
        <f t="shared" si="6"/>
        <v>#DIV/0!</v>
      </c>
      <c r="Q11" s="377"/>
      <c r="R11" s="378"/>
      <c r="S11" s="651">
        <f t="shared" si="4"/>
        <v>0</v>
      </c>
      <c r="T11" s="378"/>
      <c r="U11" s="378"/>
      <c r="V11" s="658">
        <f t="shared" si="7"/>
        <v>0</v>
      </c>
      <c r="W11" s="651">
        <f t="shared" si="8"/>
        <v>0</v>
      </c>
      <c r="X11" s="379"/>
      <c r="Y11" s="381" t="e">
        <f t="shared" si="9"/>
        <v>#DIV/0!</v>
      </c>
      <c r="Z11" s="383" t="e">
        <f t="shared" si="10"/>
        <v>#DIV/0!</v>
      </c>
    </row>
    <row r="12" spans="1:26" x14ac:dyDescent="0.25">
      <c r="A12" s="374"/>
      <c r="B12" s="375"/>
      <c r="C12" s="376"/>
      <c r="D12" s="653" t="s">
        <v>199</v>
      </c>
      <c r="E12" s="382">
        <v>0</v>
      </c>
      <c r="F12" s="655">
        <f t="shared" si="5"/>
        <v>1</v>
      </c>
      <c r="G12" s="656"/>
      <c r="H12" s="377"/>
      <c r="I12" s="378"/>
      <c r="J12" s="651">
        <f t="shared" si="1"/>
        <v>0</v>
      </c>
      <c r="K12" s="378"/>
      <c r="L12" s="378"/>
      <c r="M12" s="651">
        <f t="shared" si="2"/>
        <v>0</v>
      </c>
      <c r="N12" s="651">
        <f t="shared" si="3"/>
        <v>0</v>
      </c>
      <c r="O12" s="380"/>
      <c r="P12" s="381" t="e">
        <f t="shared" si="6"/>
        <v>#DIV/0!</v>
      </c>
      <c r="Q12" s="377"/>
      <c r="R12" s="378"/>
      <c r="S12" s="651">
        <f t="shared" si="4"/>
        <v>0</v>
      </c>
      <c r="T12" s="378"/>
      <c r="U12" s="378"/>
      <c r="V12" s="658">
        <f t="shared" si="7"/>
        <v>0</v>
      </c>
      <c r="W12" s="651">
        <f t="shared" si="8"/>
        <v>0</v>
      </c>
      <c r="X12" s="379"/>
      <c r="Y12" s="381" t="e">
        <f t="shared" si="9"/>
        <v>#DIV/0!</v>
      </c>
      <c r="Z12" s="383" t="e">
        <f t="shared" si="10"/>
        <v>#DIV/0!</v>
      </c>
    </row>
    <row r="13" spans="1:26" x14ac:dyDescent="0.25">
      <c r="A13" s="374"/>
      <c r="B13" s="375"/>
      <c r="C13" s="376"/>
      <c r="D13" s="653" t="s">
        <v>199</v>
      </c>
      <c r="E13" s="382">
        <v>0</v>
      </c>
      <c r="F13" s="655">
        <f t="shared" si="5"/>
        <v>1</v>
      </c>
      <c r="G13" s="656"/>
      <c r="H13" s="377"/>
      <c r="I13" s="378"/>
      <c r="J13" s="651">
        <f t="shared" si="1"/>
        <v>0</v>
      </c>
      <c r="K13" s="378"/>
      <c r="L13" s="378"/>
      <c r="M13" s="651">
        <f t="shared" si="2"/>
        <v>0</v>
      </c>
      <c r="N13" s="651">
        <f t="shared" si="3"/>
        <v>0</v>
      </c>
      <c r="O13" s="380"/>
      <c r="P13" s="381" t="e">
        <f t="shared" si="6"/>
        <v>#DIV/0!</v>
      </c>
      <c r="Q13" s="377"/>
      <c r="R13" s="378"/>
      <c r="S13" s="651">
        <f t="shared" si="4"/>
        <v>0</v>
      </c>
      <c r="T13" s="378"/>
      <c r="U13" s="378"/>
      <c r="V13" s="658">
        <f t="shared" si="7"/>
        <v>0</v>
      </c>
      <c r="W13" s="651">
        <f t="shared" si="8"/>
        <v>0</v>
      </c>
      <c r="X13" s="379"/>
      <c r="Y13" s="381" t="e">
        <f t="shared" si="9"/>
        <v>#DIV/0!</v>
      </c>
      <c r="Z13" s="383" t="e">
        <f t="shared" si="10"/>
        <v>#DIV/0!</v>
      </c>
    </row>
    <row r="14" spans="1:26" x14ac:dyDescent="0.25">
      <c r="A14" s="374"/>
      <c r="B14" s="375"/>
      <c r="C14" s="376"/>
      <c r="D14" s="653" t="s">
        <v>199</v>
      </c>
      <c r="E14" s="382">
        <v>0</v>
      </c>
      <c r="F14" s="655">
        <f t="shared" si="5"/>
        <v>1</v>
      </c>
      <c r="G14" s="656"/>
      <c r="H14" s="377"/>
      <c r="I14" s="378"/>
      <c r="J14" s="651">
        <f t="shared" si="1"/>
        <v>0</v>
      </c>
      <c r="K14" s="378"/>
      <c r="L14" s="378"/>
      <c r="M14" s="651">
        <f t="shared" si="2"/>
        <v>0</v>
      </c>
      <c r="N14" s="651">
        <f t="shared" si="3"/>
        <v>0</v>
      </c>
      <c r="O14" s="380"/>
      <c r="P14" s="381" t="e">
        <f t="shared" si="6"/>
        <v>#DIV/0!</v>
      </c>
      <c r="Q14" s="377"/>
      <c r="R14" s="378"/>
      <c r="S14" s="651">
        <f t="shared" si="4"/>
        <v>0</v>
      </c>
      <c r="T14" s="378"/>
      <c r="U14" s="378"/>
      <c r="V14" s="658">
        <f t="shared" si="7"/>
        <v>0</v>
      </c>
      <c r="W14" s="651">
        <f t="shared" si="8"/>
        <v>0</v>
      </c>
      <c r="X14" s="379"/>
      <c r="Y14" s="381" t="e">
        <f t="shared" si="9"/>
        <v>#DIV/0!</v>
      </c>
      <c r="Z14" s="383" t="e">
        <f t="shared" si="10"/>
        <v>#DIV/0!</v>
      </c>
    </row>
    <row r="15" spans="1:26" x14ac:dyDescent="0.25">
      <c r="A15" s="374"/>
      <c r="B15" s="375"/>
      <c r="C15" s="376"/>
      <c r="D15" s="653" t="s">
        <v>199</v>
      </c>
      <c r="E15" s="382">
        <v>0</v>
      </c>
      <c r="F15" s="655">
        <f t="shared" si="5"/>
        <v>1</v>
      </c>
      <c r="G15" s="656"/>
      <c r="H15" s="377"/>
      <c r="I15" s="378"/>
      <c r="J15" s="651">
        <f t="shared" si="1"/>
        <v>0</v>
      </c>
      <c r="K15" s="378"/>
      <c r="L15" s="378"/>
      <c r="M15" s="651">
        <f t="shared" si="2"/>
        <v>0</v>
      </c>
      <c r="N15" s="651">
        <f t="shared" si="3"/>
        <v>0</v>
      </c>
      <c r="O15" s="380"/>
      <c r="P15" s="381" t="e">
        <f t="shared" si="6"/>
        <v>#DIV/0!</v>
      </c>
      <c r="Q15" s="377"/>
      <c r="R15" s="378"/>
      <c r="S15" s="651">
        <f t="shared" si="4"/>
        <v>0</v>
      </c>
      <c r="T15" s="378"/>
      <c r="U15" s="378"/>
      <c r="V15" s="658">
        <f t="shared" si="7"/>
        <v>0</v>
      </c>
      <c r="W15" s="651">
        <f t="shared" si="8"/>
        <v>0</v>
      </c>
      <c r="X15" s="379"/>
      <c r="Y15" s="381" t="e">
        <f t="shared" si="9"/>
        <v>#DIV/0!</v>
      </c>
      <c r="Z15" s="383" t="e">
        <f t="shared" si="10"/>
        <v>#DIV/0!</v>
      </c>
    </row>
    <row r="16" spans="1:26" x14ac:dyDescent="0.25">
      <c r="A16" s="374"/>
      <c r="B16" s="375"/>
      <c r="C16" s="376"/>
      <c r="D16" s="653" t="s">
        <v>199</v>
      </c>
      <c r="E16" s="382">
        <v>0</v>
      </c>
      <c r="F16" s="655">
        <f t="shared" si="5"/>
        <v>1</v>
      </c>
      <c r="G16" s="656"/>
      <c r="H16" s="377"/>
      <c r="I16" s="378"/>
      <c r="J16" s="651">
        <f t="shared" si="1"/>
        <v>0</v>
      </c>
      <c r="K16" s="378"/>
      <c r="L16" s="378"/>
      <c r="M16" s="651">
        <f t="shared" si="2"/>
        <v>0</v>
      </c>
      <c r="N16" s="651">
        <f t="shared" si="3"/>
        <v>0</v>
      </c>
      <c r="O16" s="380"/>
      <c r="P16" s="381" t="e">
        <f t="shared" si="6"/>
        <v>#DIV/0!</v>
      </c>
      <c r="Q16" s="377"/>
      <c r="R16" s="378"/>
      <c r="S16" s="651">
        <f t="shared" si="4"/>
        <v>0</v>
      </c>
      <c r="T16" s="378"/>
      <c r="U16" s="378"/>
      <c r="V16" s="658">
        <f t="shared" si="7"/>
        <v>0</v>
      </c>
      <c r="W16" s="651">
        <f t="shared" si="8"/>
        <v>0</v>
      </c>
      <c r="X16" s="379"/>
      <c r="Y16" s="381" t="e">
        <f t="shared" si="9"/>
        <v>#DIV/0!</v>
      </c>
      <c r="Z16" s="383" t="e">
        <f t="shared" si="10"/>
        <v>#DIV/0!</v>
      </c>
    </row>
    <row r="17" spans="1:26" x14ac:dyDescent="0.25">
      <c r="A17" s="374"/>
      <c r="B17" s="375"/>
      <c r="C17" s="376"/>
      <c r="D17" s="653" t="s">
        <v>199</v>
      </c>
      <c r="E17" s="382">
        <v>0</v>
      </c>
      <c r="F17" s="655">
        <f t="shared" si="5"/>
        <v>1</v>
      </c>
      <c r="G17" s="656"/>
      <c r="H17" s="377"/>
      <c r="I17" s="378"/>
      <c r="J17" s="651">
        <f t="shared" si="1"/>
        <v>0</v>
      </c>
      <c r="K17" s="378"/>
      <c r="L17" s="378"/>
      <c r="M17" s="651">
        <f t="shared" si="2"/>
        <v>0</v>
      </c>
      <c r="N17" s="651">
        <f t="shared" si="3"/>
        <v>0</v>
      </c>
      <c r="O17" s="380"/>
      <c r="P17" s="381" t="e">
        <f t="shared" si="6"/>
        <v>#DIV/0!</v>
      </c>
      <c r="Q17" s="377"/>
      <c r="R17" s="378"/>
      <c r="S17" s="651">
        <f t="shared" si="4"/>
        <v>0</v>
      </c>
      <c r="T17" s="378"/>
      <c r="U17" s="378"/>
      <c r="V17" s="658">
        <f t="shared" si="7"/>
        <v>0</v>
      </c>
      <c r="W17" s="651">
        <f t="shared" si="8"/>
        <v>0</v>
      </c>
      <c r="X17" s="379"/>
      <c r="Y17" s="381" t="e">
        <f t="shared" si="9"/>
        <v>#DIV/0!</v>
      </c>
      <c r="Z17" s="383" t="e">
        <f t="shared" si="10"/>
        <v>#DIV/0!</v>
      </c>
    </row>
    <row r="18" spans="1:26" x14ac:dyDescent="0.25">
      <c r="A18" s="374"/>
      <c r="B18" s="375"/>
      <c r="C18" s="376"/>
      <c r="D18" s="653" t="s">
        <v>199</v>
      </c>
      <c r="E18" s="382">
        <v>0</v>
      </c>
      <c r="F18" s="655">
        <f t="shared" si="5"/>
        <v>1</v>
      </c>
      <c r="G18" s="656"/>
      <c r="H18" s="377"/>
      <c r="I18" s="378"/>
      <c r="J18" s="651">
        <f t="shared" si="1"/>
        <v>0</v>
      </c>
      <c r="K18" s="378"/>
      <c r="L18" s="378"/>
      <c r="M18" s="651">
        <f t="shared" si="2"/>
        <v>0</v>
      </c>
      <c r="N18" s="651">
        <f t="shared" si="3"/>
        <v>0</v>
      </c>
      <c r="O18" s="380"/>
      <c r="P18" s="381" t="e">
        <f t="shared" si="6"/>
        <v>#DIV/0!</v>
      </c>
      <c r="Q18" s="377"/>
      <c r="R18" s="378"/>
      <c r="S18" s="651">
        <f t="shared" si="4"/>
        <v>0</v>
      </c>
      <c r="T18" s="378"/>
      <c r="U18" s="378"/>
      <c r="V18" s="658">
        <f t="shared" si="7"/>
        <v>0</v>
      </c>
      <c r="W18" s="651">
        <f t="shared" si="8"/>
        <v>0</v>
      </c>
      <c r="X18" s="379"/>
      <c r="Y18" s="381" t="e">
        <f t="shared" si="9"/>
        <v>#DIV/0!</v>
      </c>
      <c r="Z18" s="383" t="e">
        <f t="shared" si="10"/>
        <v>#DIV/0!</v>
      </c>
    </row>
    <row r="19" spans="1:26" x14ac:dyDescent="0.25">
      <c r="A19" s="374"/>
      <c r="B19" s="375"/>
      <c r="C19" s="376"/>
      <c r="D19" s="653" t="s">
        <v>199</v>
      </c>
      <c r="E19" s="382">
        <v>0</v>
      </c>
      <c r="F19" s="655">
        <f t="shared" si="5"/>
        <v>1</v>
      </c>
      <c r="G19" s="656"/>
      <c r="H19" s="377"/>
      <c r="I19" s="378"/>
      <c r="J19" s="651">
        <f t="shared" si="1"/>
        <v>0</v>
      </c>
      <c r="K19" s="378"/>
      <c r="L19" s="378"/>
      <c r="M19" s="651">
        <f t="shared" si="2"/>
        <v>0</v>
      </c>
      <c r="N19" s="651">
        <f t="shared" si="3"/>
        <v>0</v>
      </c>
      <c r="O19" s="380"/>
      <c r="P19" s="381" t="e">
        <f t="shared" si="6"/>
        <v>#DIV/0!</v>
      </c>
      <c r="Q19" s="377"/>
      <c r="R19" s="378"/>
      <c r="S19" s="651">
        <f t="shared" si="4"/>
        <v>0</v>
      </c>
      <c r="T19" s="378"/>
      <c r="U19" s="378"/>
      <c r="V19" s="658">
        <f t="shared" si="7"/>
        <v>0</v>
      </c>
      <c r="W19" s="651">
        <f t="shared" si="8"/>
        <v>0</v>
      </c>
      <c r="X19" s="379"/>
      <c r="Y19" s="381" t="e">
        <f t="shared" si="9"/>
        <v>#DIV/0!</v>
      </c>
      <c r="Z19" s="383" t="e">
        <f t="shared" si="10"/>
        <v>#DIV/0!</v>
      </c>
    </row>
    <row r="20" spans="1:26" x14ac:dyDescent="0.25">
      <c r="A20" s="374"/>
      <c r="B20" s="375"/>
      <c r="C20" s="376"/>
      <c r="D20" s="653" t="s">
        <v>199</v>
      </c>
      <c r="E20" s="382">
        <v>0</v>
      </c>
      <c r="F20" s="655">
        <f t="shared" si="5"/>
        <v>1</v>
      </c>
      <c r="G20" s="656"/>
      <c r="H20" s="377"/>
      <c r="I20" s="378"/>
      <c r="J20" s="651">
        <f t="shared" si="1"/>
        <v>0</v>
      </c>
      <c r="K20" s="378"/>
      <c r="L20" s="378"/>
      <c r="M20" s="651">
        <f t="shared" si="2"/>
        <v>0</v>
      </c>
      <c r="N20" s="651">
        <f t="shared" si="3"/>
        <v>0</v>
      </c>
      <c r="O20" s="380"/>
      <c r="P20" s="381" t="e">
        <f t="shared" si="6"/>
        <v>#DIV/0!</v>
      </c>
      <c r="Q20" s="377"/>
      <c r="R20" s="378"/>
      <c r="S20" s="651">
        <f t="shared" si="4"/>
        <v>0</v>
      </c>
      <c r="T20" s="378"/>
      <c r="U20" s="378"/>
      <c r="V20" s="658">
        <f t="shared" si="7"/>
        <v>0</v>
      </c>
      <c r="W20" s="651">
        <f t="shared" si="8"/>
        <v>0</v>
      </c>
      <c r="X20" s="379"/>
      <c r="Y20" s="381" t="e">
        <f t="shared" si="9"/>
        <v>#DIV/0!</v>
      </c>
      <c r="Z20" s="383" t="e">
        <f t="shared" si="10"/>
        <v>#DIV/0!</v>
      </c>
    </row>
    <row r="21" spans="1:26" x14ac:dyDescent="0.25">
      <c r="A21" s="374"/>
      <c r="B21" s="375"/>
      <c r="C21" s="376"/>
      <c r="D21" s="653" t="s">
        <v>199</v>
      </c>
      <c r="E21" s="382">
        <v>0</v>
      </c>
      <c r="F21" s="655">
        <f t="shared" si="5"/>
        <v>1</v>
      </c>
      <c r="G21" s="656"/>
      <c r="H21" s="377"/>
      <c r="I21" s="378"/>
      <c r="J21" s="651">
        <f t="shared" si="1"/>
        <v>0</v>
      </c>
      <c r="K21" s="378"/>
      <c r="L21" s="378"/>
      <c r="M21" s="651">
        <f t="shared" si="2"/>
        <v>0</v>
      </c>
      <c r="N21" s="651">
        <f t="shared" si="3"/>
        <v>0</v>
      </c>
      <c r="O21" s="380"/>
      <c r="P21" s="381" t="e">
        <f t="shared" si="6"/>
        <v>#DIV/0!</v>
      </c>
      <c r="Q21" s="377"/>
      <c r="R21" s="378"/>
      <c r="S21" s="651">
        <f t="shared" si="4"/>
        <v>0</v>
      </c>
      <c r="T21" s="378"/>
      <c r="U21" s="378"/>
      <c r="V21" s="658">
        <f t="shared" si="7"/>
        <v>0</v>
      </c>
      <c r="W21" s="651">
        <f t="shared" si="8"/>
        <v>0</v>
      </c>
      <c r="X21" s="379"/>
      <c r="Y21" s="381" t="e">
        <f t="shared" si="9"/>
        <v>#DIV/0!</v>
      </c>
      <c r="Z21" s="383" t="e">
        <f t="shared" si="10"/>
        <v>#DIV/0!</v>
      </c>
    </row>
    <row r="22" spans="1:26" x14ac:dyDescent="0.25">
      <c r="A22" s="374"/>
      <c r="B22" s="375"/>
      <c r="C22" s="376"/>
      <c r="D22" s="653" t="s">
        <v>199</v>
      </c>
      <c r="E22" s="382">
        <v>0</v>
      </c>
      <c r="F22" s="655">
        <f t="shared" si="5"/>
        <v>1</v>
      </c>
      <c r="G22" s="656"/>
      <c r="H22" s="377"/>
      <c r="I22" s="378"/>
      <c r="J22" s="651">
        <f t="shared" si="1"/>
        <v>0</v>
      </c>
      <c r="K22" s="378"/>
      <c r="L22" s="378"/>
      <c r="M22" s="651">
        <f t="shared" si="2"/>
        <v>0</v>
      </c>
      <c r="N22" s="651">
        <f t="shared" si="3"/>
        <v>0</v>
      </c>
      <c r="O22" s="380"/>
      <c r="P22" s="381" t="e">
        <f t="shared" si="6"/>
        <v>#DIV/0!</v>
      </c>
      <c r="Q22" s="377"/>
      <c r="R22" s="378"/>
      <c r="S22" s="651">
        <f t="shared" si="4"/>
        <v>0</v>
      </c>
      <c r="T22" s="378"/>
      <c r="U22" s="378"/>
      <c r="V22" s="658">
        <f t="shared" si="7"/>
        <v>0</v>
      </c>
      <c r="W22" s="651">
        <f t="shared" si="8"/>
        <v>0</v>
      </c>
      <c r="X22" s="379"/>
      <c r="Y22" s="381" t="e">
        <f t="shared" si="9"/>
        <v>#DIV/0!</v>
      </c>
      <c r="Z22" s="383" t="e">
        <f t="shared" si="10"/>
        <v>#DIV/0!</v>
      </c>
    </row>
    <row r="23" spans="1:26" x14ac:dyDescent="0.25">
      <c r="A23" s="374"/>
      <c r="B23" s="375"/>
      <c r="C23" s="376"/>
      <c r="D23" s="653" t="s">
        <v>199</v>
      </c>
      <c r="E23" s="382">
        <v>0</v>
      </c>
      <c r="F23" s="655">
        <f t="shared" si="5"/>
        <v>1</v>
      </c>
      <c r="G23" s="656"/>
      <c r="H23" s="377"/>
      <c r="I23" s="378"/>
      <c r="J23" s="651">
        <f t="shared" si="1"/>
        <v>0</v>
      </c>
      <c r="K23" s="378"/>
      <c r="L23" s="378"/>
      <c r="M23" s="651">
        <f t="shared" si="2"/>
        <v>0</v>
      </c>
      <c r="N23" s="651">
        <f t="shared" si="3"/>
        <v>0</v>
      </c>
      <c r="O23" s="380"/>
      <c r="P23" s="381" t="e">
        <f t="shared" si="6"/>
        <v>#DIV/0!</v>
      </c>
      <c r="Q23" s="377"/>
      <c r="R23" s="378"/>
      <c r="S23" s="651">
        <f t="shared" si="4"/>
        <v>0</v>
      </c>
      <c r="T23" s="378"/>
      <c r="U23" s="378"/>
      <c r="V23" s="658">
        <f t="shared" si="7"/>
        <v>0</v>
      </c>
      <c r="W23" s="651">
        <f t="shared" si="8"/>
        <v>0</v>
      </c>
      <c r="X23" s="379"/>
      <c r="Y23" s="381" t="e">
        <f t="shared" si="9"/>
        <v>#DIV/0!</v>
      </c>
      <c r="Z23" s="383" t="e">
        <f t="shared" si="10"/>
        <v>#DIV/0!</v>
      </c>
    </row>
    <row r="24" spans="1:26" x14ac:dyDescent="0.25">
      <c r="A24" s="374"/>
      <c r="B24" s="375"/>
      <c r="C24" s="376"/>
      <c r="D24" s="653" t="s">
        <v>199</v>
      </c>
      <c r="E24" s="382">
        <v>0</v>
      </c>
      <c r="F24" s="655">
        <f t="shared" si="5"/>
        <v>1</v>
      </c>
      <c r="G24" s="656"/>
      <c r="H24" s="377"/>
      <c r="I24" s="378"/>
      <c r="J24" s="651">
        <f t="shared" si="1"/>
        <v>0</v>
      </c>
      <c r="K24" s="378"/>
      <c r="L24" s="378"/>
      <c r="M24" s="651">
        <f t="shared" si="2"/>
        <v>0</v>
      </c>
      <c r="N24" s="651">
        <f t="shared" si="3"/>
        <v>0</v>
      </c>
      <c r="O24" s="380"/>
      <c r="P24" s="381" t="e">
        <f t="shared" si="6"/>
        <v>#DIV/0!</v>
      </c>
      <c r="Q24" s="377"/>
      <c r="R24" s="378"/>
      <c r="S24" s="651">
        <f t="shared" si="4"/>
        <v>0</v>
      </c>
      <c r="T24" s="378"/>
      <c r="U24" s="378"/>
      <c r="V24" s="658">
        <f t="shared" si="7"/>
        <v>0</v>
      </c>
      <c r="W24" s="651">
        <f t="shared" si="8"/>
        <v>0</v>
      </c>
      <c r="X24" s="379"/>
      <c r="Y24" s="381" t="e">
        <f t="shared" si="9"/>
        <v>#DIV/0!</v>
      </c>
      <c r="Z24" s="383" t="e">
        <f t="shared" si="10"/>
        <v>#DIV/0!</v>
      </c>
    </row>
    <row r="25" spans="1:26" x14ac:dyDescent="0.25">
      <c r="A25" s="374"/>
      <c r="B25" s="375"/>
      <c r="C25" s="376"/>
      <c r="D25" s="653" t="s">
        <v>199</v>
      </c>
      <c r="E25" s="382">
        <v>0</v>
      </c>
      <c r="F25" s="655">
        <f t="shared" si="5"/>
        <v>1</v>
      </c>
      <c r="G25" s="656"/>
      <c r="H25" s="377"/>
      <c r="I25" s="378"/>
      <c r="J25" s="651">
        <f t="shared" si="1"/>
        <v>0</v>
      </c>
      <c r="K25" s="378"/>
      <c r="L25" s="378"/>
      <c r="M25" s="651">
        <f t="shared" si="2"/>
        <v>0</v>
      </c>
      <c r="N25" s="651">
        <f t="shared" si="3"/>
        <v>0</v>
      </c>
      <c r="O25" s="380"/>
      <c r="P25" s="381" t="e">
        <f t="shared" si="6"/>
        <v>#DIV/0!</v>
      </c>
      <c r="Q25" s="377"/>
      <c r="R25" s="378"/>
      <c r="S25" s="651">
        <f t="shared" si="4"/>
        <v>0</v>
      </c>
      <c r="T25" s="378"/>
      <c r="U25" s="378"/>
      <c r="V25" s="658">
        <f t="shared" si="7"/>
        <v>0</v>
      </c>
      <c r="W25" s="651">
        <f t="shared" si="8"/>
        <v>0</v>
      </c>
      <c r="X25" s="379"/>
      <c r="Y25" s="381" t="e">
        <f t="shared" si="9"/>
        <v>#DIV/0!</v>
      </c>
      <c r="Z25" s="383" t="e">
        <f t="shared" si="10"/>
        <v>#DIV/0!</v>
      </c>
    </row>
    <row r="26" spans="1:26" x14ac:dyDescent="0.25">
      <c r="A26" s="374"/>
      <c r="B26" s="375"/>
      <c r="C26" s="376"/>
      <c r="D26" s="653" t="s">
        <v>199</v>
      </c>
      <c r="E26" s="382">
        <v>0</v>
      </c>
      <c r="F26" s="655">
        <f t="shared" si="5"/>
        <v>1</v>
      </c>
      <c r="G26" s="656"/>
      <c r="H26" s="377"/>
      <c r="I26" s="378"/>
      <c r="J26" s="651">
        <f t="shared" si="1"/>
        <v>0</v>
      </c>
      <c r="K26" s="378"/>
      <c r="L26" s="378"/>
      <c r="M26" s="651">
        <f t="shared" si="2"/>
        <v>0</v>
      </c>
      <c r="N26" s="651">
        <f t="shared" si="3"/>
        <v>0</v>
      </c>
      <c r="O26" s="380"/>
      <c r="P26" s="381" t="e">
        <f t="shared" si="6"/>
        <v>#DIV/0!</v>
      </c>
      <c r="Q26" s="377"/>
      <c r="R26" s="378"/>
      <c r="S26" s="651">
        <f t="shared" si="4"/>
        <v>0</v>
      </c>
      <c r="T26" s="378"/>
      <c r="U26" s="378"/>
      <c r="V26" s="658">
        <f t="shared" si="7"/>
        <v>0</v>
      </c>
      <c r="W26" s="651">
        <f t="shared" si="8"/>
        <v>0</v>
      </c>
      <c r="X26" s="379"/>
      <c r="Y26" s="381" t="e">
        <f t="shared" si="9"/>
        <v>#DIV/0!</v>
      </c>
      <c r="Z26" s="383" t="e">
        <f t="shared" si="10"/>
        <v>#DIV/0!</v>
      </c>
    </row>
    <row r="27" spans="1:26" x14ac:dyDescent="0.25">
      <c r="A27" s="374"/>
      <c r="B27" s="375"/>
      <c r="C27" s="376"/>
      <c r="D27" s="653" t="s">
        <v>199</v>
      </c>
      <c r="E27" s="382">
        <v>0</v>
      </c>
      <c r="F27" s="655">
        <f t="shared" si="5"/>
        <v>1</v>
      </c>
      <c r="G27" s="656"/>
      <c r="H27" s="377"/>
      <c r="I27" s="378"/>
      <c r="J27" s="651">
        <f t="shared" si="1"/>
        <v>0</v>
      </c>
      <c r="K27" s="378"/>
      <c r="L27" s="378"/>
      <c r="M27" s="651">
        <f t="shared" si="2"/>
        <v>0</v>
      </c>
      <c r="N27" s="651">
        <f t="shared" si="3"/>
        <v>0</v>
      </c>
      <c r="O27" s="380"/>
      <c r="P27" s="381" t="e">
        <f t="shared" si="6"/>
        <v>#DIV/0!</v>
      </c>
      <c r="Q27" s="377"/>
      <c r="R27" s="378"/>
      <c r="S27" s="651">
        <f t="shared" si="4"/>
        <v>0</v>
      </c>
      <c r="T27" s="378"/>
      <c r="U27" s="378"/>
      <c r="V27" s="658">
        <f t="shared" si="7"/>
        <v>0</v>
      </c>
      <c r="W27" s="651">
        <f t="shared" si="8"/>
        <v>0</v>
      </c>
      <c r="X27" s="379"/>
      <c r="Y27" s="381" t="e">
        <f t="shared" si="9"/>
        <v>#DIV/0!</v>
      </c>
      <c r="Z27" s="383" t="e">
        <f t="shared" si="10"/>
        <v>#DIV/0!</v>
      </c>
    </row>
    <row r="28" spans="1:26" x14ac:dyDescent="0.25">
      <c r="A28" s="374"/>
      <c r="B28" s="375"/>
      <c r="C28" s="376"/>
      <c r="D28" s="653" t="s">
        <v>199</v>
      </c>
      <c r="E28" s="382">
        <v>0</v>
      </c>
      <c r="F28" s="655">
        <f t="shared" si="5"/>
        <v>1</v>
      </c>
      <c r="G28" s="656"/>
      <c r="H28" s="377"/>
      <c r="I28" s="378"/>
      <c r="J28" s="651">
        <f t="shared" si="1"/>
        <v>0</v>
      </c>
      <c r="K28" s="378"/>
      <c r="L28" s="378"/>
      <c r="M28" s="651">
        <f t="shared" si="2"/>
        <v>0</v>
      </c>
      <c r="N28" s="651">
        <f t="shared" si="3"/>
        <v>0</v>
      </c>
      <c r="O28" s="380"/>
      <c r="P28" s="381" t="e">
        <f t="shared" si="6"/>
        <v>#DIV/0!</v>
      </c>
      <c r="Q28" s="377"/>
      <c r="R28" s="378"/>
      <c r="S28" s="651">
        <f t="shared" si="4"/>
        <v>0</v>
      </c>
      <c r="T28" s="378"/>
      <c r="U28" s="378"/>
      <c r="V28" s="658">
        <f t="shared" si="7"/>
        <v>0</v>
      </c>
      <c r="W28" s="651">
        <f t="shared" si="8"/>
        <v>0</v>
      </c>
      <c r="X28" s="379"/>
      <c r="Y28" s="381" t="e">
        <f t="shared" si="9"/>
        <v>#DIV/0!</v>
      </c>
      <c r="Z28" s="383" t="e">
        <f t="shared" si="10"/>
        <v>#DIV/0!</v>
      </c>
    </row>
    <row r="29" spans="1:26" x14ac:dyDescent="0.25">
      <c r="A29" s="374"/>
      <c r="B29" s="375"/>
      <c r="C29" s="376"/>
      <c r="D29" s="653" t="s">
        <v>199</v>
      </c>
      <c r="E29" s="382">
        <v>0</v>
      </c>
      <c r="F29" s="655">
        <f t="shared" si="5"/>
        <v>1</v>
      </c>
      <c r="G29" s="656"/>
      <c r="H29" s="377"/>
      <c r="I29" s="378"/>
      <c r="J29" s="651">
        <f t="shared" si="1"/>
        <v>0</v>
      </c>
      <c r="K29" s="378"/>
      <c r="L29" s="378"/>
      <c r="M29" s="651">
        <f t="shared" si="2"/>
        <v>0</v>
      </c>
      <c r="N29" s="651">
        <f t="shared" si="3"/>
        <v>0</v>
      </c>
      <c r="O29" s="380"/>
      <c r="P29" s="381" t="e">
        <f t="shared" si="6"/>
        <v>#DIV/0!</v>
      </c>
      <c r="Q29" s="377"/>
      <c r="R29" s="378"/>
      <c r="S29" s="651">
        <f t="shared" si="4"/>
        <v>0</v>
      </c>
      <c r="T29" s="378"/>
      <c r="U29" s="378"/>
      <c r="V29" s="658">
        <f t="shared" si="7"/>
        <v>0</v>
      </c>
      <c r="W29" s="651">
        <f t="shared" si="8"/>
        <v>0</v>
      </c>
      <c r="X29" s="379"/>
      <c r="Y29" s="381" t="e">
        <f t="shared" si="9"/>
        <v>#DIV/0!</v>
      </c>
      <c r="Z29" s="383" t="e">
        <f t="shared" si="10"/>
        <v>#DIV/0!</v>
      </c>
    </row>
    <row r="30" spans="1:26" x14ac:dyDescent="0.25">
      <c r="A30" s="374"/>
      <c r="B30" s="375"/>
      <c r="C30" s="376"/>
      <c r="D30" s="653" t="s">
        <v>199</v>
      </c>
      <c r="E30" s="382">
        <v>0</v>
      </c>
      <c r="F30" s="655">
        <f t="shared" si="5"/>
        <v>1</v>
      </c>
      <c r="G30" s="656"/>
      <c r="H30" s="377"/>
      <c r="I30" s="378"/>
      <c r="J30" s="651">
        <f t="shared" si="1"/>
        <v>0</v>
      </c>
      <c r="K30" s="378"/>
      <c r="L30" s="378"/>
      <c r="M30" s="651">
        <f t="shared" si="2"/>
        <v>0</v>
      </c>
      <c r="N30" s="651">
        <f t="shared" si="3"/>
        <v>0</v>
      </c>
      <c r="O30" s="380"/>
      <c r="P30" s="381" t="e">
        <f t="shared" si="6"/>
        <v>#DIV/0!</v>
      </c>
      <c r="Q30" s="377"/>
      <c r="R30" s="378"/>
      <c r="S30" s="651">
        <f t="shared" si="4"/>
        <v>0</v>
      </c>
      <c r="T30" s="378"/>
      <c r="U30" s="378"/>
      <c r="V30" s="658">
        <f t="shared" si="7"/>
        <v>0</v>
      </c>
      <c r="W30" s="651">
        <f t="shared" si="8"/>
        <v>0</v>
      </c>
      <c r="X30" s="379"/>
      <c r="Y30" s="381" t="e">
        <f t="shared" si="9"/>
        <v>#DIV/0!</v>
      </c>
      <c r="Z30" s="383" t="e">
        <f t="shared" si="10"/>
        <v>#DIV/0!</v>
      </c>
    </row>
    <row r="31" spans="1:26" x14ac:dyDescent="0.25">
      <c r="A31" s="374"/>
      <c r="B31" s="375"/>
      <c r="C31" s="376"/>
      <c r="D31" s="653" t="s">
        <v>199</v>
      </c>
      <c r="E31" s="382">
        <v>0</v>
      </c>
      <c r="F31" s="655">
        <f t="shared" si="5"/>
        <v>1</v>
      </c>
      <c r="G31" s="656"/>
      <c r="H31" s="377"/>
      <c r="I31" s="378"/>
      <c r="J31" s="651">
        <f t="shared" si="1"/>
        <v>0</v>
      </c>
      <c r="K31" s="378"/>
      <c r="L31" s="378"/>
      <c r="M31" s="651">
        <f t="shared" si="2"/>
        <v>0</v>
      </c>
      <c r="N31" s="651">
        <f t="shared" si="3"/>
        <v>0</v>
      </c>
      <c r="O31" s="380"/>
      <c r="P31" s="381" t="e">
        <f t="shared" si="6"/>
        <v>#DIV/0!</v>
      </c>
      <c r="Q31" s="377"/>
      <c r="R31" s="378"/>
      <c r="S31" s="651">
        <f t="shared" si="4"/>
        <v>0</v>
      </c>
      <c r="T31" s="378"/>
      <c r="U31" s="378"/>
      <c r="V31" s="658">
        <f t="shared" si="7"/>
        <v>0</v>
      </c>
      <c r="W31" s="651">
        <f t="shared" si="8"/>
        <v>0</v>
      </c>
      <c r="X31" s="379"/>
      <c r="Y31" s="381" t="e">
        <f t="shared" si="9"/>
        <v>#DIV/0!</v>
      </c>
      <c r="Z31" s="383" t="e">
        <f t="shared" si="10"/>
        <v>#DIV/0!</v>
      </c>
    </row>
    <row r="32" spans="1:26" x14ac:dyDescent="0.25">
      <c r="A32" s="374"/>
      <c r="B32" s="375"/>
      <c r="C32" s="376"/>
      <c r="D32" s="653" t="s">
        <v>199</v>
      </c>
      <c r="E32" s="382">
        <v>0</v>
      </c>
      <c r="F32" s="655">
        <f t="shared" si="5"/>
        <v>1</v>
      </c>
      <c r="G32" s="656"/>
      <c r="H32" s="377"/>
      <c r="I32" s="378"/>
      <c r="J32" s="651">
        <f t="shared" si="1"/>
        <v>0</v>
      </c>
      <c r="K32" s="378"/>
      <c r="L32" s="378"/>
      <c r="M32" s="651">
        <f t="shared" si="2"/>
        <v>0</v>
      </c>
      <c r="N32" s="651">
        <f t="shared" si="3"/>
        <v>0</v>
      </c>
      <c r="O32" s="380"/>
      <c r="P32" s="381" t="e">
        <f t="shared" si="6"/>
        <v>#DIV/0!</v>
      </c>
      <c r="Q32" s="377"/>
      <c r="R32" s="378"/>
      <c r="S32" s="651">
        <f t="shared" si="4"/>
        <v>0</v>
      </c>
      <c r="T32" s="378"/>
      <c r="U32" s="378"/>
      <c r="V32" s="658">
        <f t="shared" si="7"/>
        <v>0</v>
      </c>
      <c r="W32" s="651">
        <f t="shared" si="8"/>
        <v>0</v>
      </c>
      <c r="X32" s="379"/>
      <c r="Y32" s="381" t="e">
        <f t="shared" si="9"/>
        <v>#DIV/0!</v>
      </c>
      <c r="Z32" s="383" t="e">
        <f t="shared" si="10"/>
        <v>#DIV/0!</v>
      </c>
    </row>
    <row r="33" spans="1:26" x14ac:dyDescent="0.25">
      <c r="A33" s="374"/>
      <c r="B33" s="375"/>
      <c r="C33" s="376"/>
      <c r="D33" s="653" t="s">
        <v>199</v>
      </c>
      <c r="E33" s="382">
        <v>0</v>
      </c>
      <c r="F33" s="655">
        <f t="shared" si="5"/>
        <v>1</v>
      </c>
      <c r="G33" s="656"/>
      <c r="H33" s="377"/>
      <c r="I33" s="378"/>
      <c r="J33" s="651">
        <f t="shared" si="1"/>
        <v>0</v>
      </c>
      <c r="K33" s="378"/>
      <c r="L33" s="378"/>
      <c r="M33" s="651">
        <f t="shared" si="2"/>
        <v>0</v>
      </c>
      <c r="N33" s="651">
        <f t="shared" si="3"/>
        <v>0</v>
      </c>
      <c r="O33" s="380"/>
      <c r="P33" s="381" t="e">
        <f t="shared" si="6"/>
        <v>#DIV/0!</v>
      </c>
      <c r="Q33" s="377"/>
      <c r="R33" s="378"/>
      <c r="S33" s="651">
        <f t="shared" si="4"/>
        <v>0</v>
      </c>
      <c r="T33" s="378"/>
      <c r="U33" s="378"/>
      <c r="V33" s="658">
        <f t="shared" si="7"/>
        <v>0</v>
      </c>
      <c r="W33" s="651">
        <f t="shared" si="8"/>
        <v>0</v>
      </c>
      <c r="X33" s="379"/>
      <c r="Y33" s="381" t="e">
        <f t="shared" si="9"/>
        <v>#DIV/0!</v>
      </c>
      <c r="Z33" s="383" t="e">
        <f t="shared" si="10"/>
        <v>#DIV/0!</v>
      </c>
    </row>
    <row r="34" spans="1:26" x14ac:dyDescent="0.25">
      <c r="A34" s="374"/>
      <c r="B34" s="375"/>
      <c r="C34" s="376"/>
      <c r="D34" s="653" t="s">
        <v>199</v>
      </c>
      <c r="E34" s="382">
        <v>0</v>
      </c>
      <c r="F34" s="655">
        <f t="shared" si="5"/>
        <v>1</v>
      </c>
      <c r="G34" s="656"/>
      <c r="H34" s="377"/>
      <c r="I34" s="378"/>
      <c r="J34" s="651">
        <f t="shared" si="1"/>
        <v>0</v>
      </c>
      <c r="K34" s="378"/>
      <c r="L34" s="378"/>
      <c r="M34" s="651">
        <f t="shared" si="2"/>
        <v>0</v>
      </c>
      <c r="N34" s="651">
        <f t="shared" si="3"/>
        <v>0</v>
      </c>
      <c r="O34" s="380"/>
      <c r="P34" s="381" t="e">
        <f t="shared" si="6"/>
        <v>#DIV/0!</v>
      </c>
      <c r="Q34" s="377"/>
      <c r="R34" s="378"/>
      <c r="S34" s="651">
        <f t="shared" si="4"/>
        <v>0</v>
      </c>
      <c r="T34" s="378"/>
      <c r="U34" s="378"/>
      <c r="V34" s="658">
        <f t="shared" si="7"/>
        <v>0</v>
      </c>
      <c r="W34" s="651">
        <f t="shared" si="8"/>
        <v>0</v>
      </c>
      <c r="X34" s="379"/>
      <c r="Y34" s="381" t="e">
        <f t="shared" si="9"/>
        <v>#DIV/0!</v>
      </c>
      <c r="Z34" s="383" t="e">
        <f t="shared" si="10"/>
        <v>#DIV/0!</v>
      </c>
    </row>
    <row r="35" spans="1:26" x14ac:dyDescent="0.25">
      <c r="A35" s="374"/>
      <c r="B35" s="375"/>
      <c r="C35" s="376"/>
      <c r="D35" s="653" t="s">
        <v>199</v>
      </c>
      <c r="E35" s="382">
        <v>0</v>
      </c>
      <c r="F35" s="655">
        <f t="shared" si="5"/>
        <v>1</v>
      </c>
      <c r="G35" s="656"/>
      <c r="H35" s="377"/>
      <c r="I35" s="378"/>
      <c r="J35" s="651">
        <f t="shared" si="1"/>
        <v>0</v>
      </c>
      <c r="K35" s="378"/>
      <c r="L35" s="378"/>
      <c r="M35" s="651">
        <f t="shared" si="2"/>
        <v>0</v>
      </c>
      <c r="N35" s="651">
        <f t="shared" si="3"/>
        <v>0</v>
      </c>
      <c r="O35" s="380"/>
      <c r="P35" s="381" t="e">
        <f t="shared" si="6"/>
        <v>#DIV/0!</v>
      </c>
      <c r="Q35" s="377"/>
      <c r="R35" s="378"/>
      <c r="S35" s="651">
        <f t="shared" si="4"/>
        <v>0</v>
      </c>
      <c r="T35" s="378"/>
      <c r="U35" s="378"/>
      <c r="V35" s="658">
        <f t="shared" si="7"/>
        <v>0</v>
      </c>
      <c r="W35" s="651">
        <f t="shared" si="8"/>
        <v>0</v>
      </c>
      <c r="X35" s="379"/>
      <c r="Y35" s="381" t="e">
        <f t="shared" si="9"/>
        <v>#DIV/0!</v>
      </c>
      <c r="Z35" s="383" t="e">
        <f t="shared" si="10"/>
        <v>#DIV/0!</v>
      </c>
    </row>
    <row r="36" spans="1:26" x14ac:dyDescent="0.25">
      <c r="A36" s="374"/>
      <c r="B36" s="375"/>
      <c r="C36" s="376"/>
      <c r="D36" s="653" t="s">
        <v>199</v>
      </c>
      <c r="E36" s="382">
        <v>0</v>
      </c>
      <c r="F36" s="655">
        <f t="shared" si="5"/>
        <v>1</v>
      </c>
      <c r="G36" s="656"/>
      <c r="H36" s="377"/>
      <c r="I36" s="378"/>
      <c r="J36" s="651">
        <f t="shared" si="1"/>
        <v>0</v>
      </c>
      <c r="K36" s="378"/>
      <c r="L36" s="378"/>
      <c r="M36" s="651">
        <f t="shared" si="2"/>
        <v>0</v>
      </c>
      <c r="N36" s="651">
        <f t="shared" si="3"/>
        <v>0</v>
      </c>
      <c r="O36" s="380"/>
      <c r="P36" s="381" t="e">
        <f t="shared" si="6"/>
        <v>#DIV/0!</v>
      </c>
      <c r="Q36" s="377"/>
      <c r="R36" s="378"/>
      <c r="S36" s="651">
        <f t="shared" si="4"/>
        <v>0</v>
      </c>
      <c r="T36" s="378"/>
      <c r="U36" s="378"/>
      <c r="V36" s="658">
        <f t="shared" si="7"/>
        <v>0</v>
      </c>
      <c r="W36" s="651">
        <f t="shared" si="8"/>
        <v>0</v>
      </c>
      <c r="X36" s="379"/>
      <c r="Y36" s="381" t="e">
        <f t="shared" si="9"/>
        <v>#DIV/0!</v>
      </c>
      <c r="Z36" s="383" t="e">
        <f t="shared" si="10"/>
        <v>#DIV/0!</v>
      </c>
    </row>
    <row r="37" spans="1:26" x14ac:dyDescent="0.25">
      <c r="A37" s="374"/>
      <c r="B37" s="375"/>
      <c r="C37" s="376"/>
      <c r="D37" s="653" t="s">
        <v>199</v>
      </c>
      <c r="E37" s="382">
        <v>0</v>
      </c>
      <c r="F37" s="655">
        <f t="shared" si="5"/>
        <v>1</v>
      </c>
      <c r="G37" s="656"/>
      <c r="H37" s="377"/>
      <c r="I37" s="378"/>
      <c r="J37" s="651">
        <f t="shared" si="1"/>
        <v>0</v>
      </c>
      <c r="K37" s="378"/>
      <c r="L37" s="378"/>
      <c r="M37" s="651">
        <f t="shared" si="2"/>
        <v>0</v>
      </c>
      <c r="N37" s="651">
        <f t="shared" si="3"/>
        <v>0</v>
      </c>
      <c r="O37" s="380"/>
      <c r="P37" s="381" t="e">
        <f t="shared" si="6"/>
        <v>#DIV/0!</v>
      </c>
      <c r="Q37" s="377"/>
      <c r="R37" s="378"/>
      <c r="S37" s="651">
        <f t="shared" si="4"/>
        <v>0</v>
      </c>
      <c r="T37" s="378"/>
      <c r="U37" s="378"/>
      <c r="V37" s="658">
        <f t="shared" si="7"/>
        <v>0</v>
      </c>
      <c r="W37" s="651">
        <f t="shared" si="8"/>
        <v>0</v>
      </c>
      <c r="X37" s="379"/>
      <c r="Y37" s="381" t="e">
        <f t="shared" si="9"/>
        <v>#DIV/0!</v>
      </c>
      <c r="Z37" s="383" t="e">
        <f t="shared" si="10"/>
        <v>#DIV/0!</v>
      </c>
    </row>
    <row r="38" spans="1:26" x14ac:dyDescent="0.25">
      <c r="A38" s="374"/>
      <c r="B38" s="375"/>
      <c r="C38" s="376"/>
      <c r="D38" s="653" t="s">
        <v>199</v>
      </c>
      <c r="E38" s="382">
        <v>0</v>
      </c>
      <c r="F38" s="655">
        <f t="shared" si="5"/>
        <v>1</v>
      </c>
      <c r="G38" s="656"/>
      <c r="H38" s="377"/>
      <c r="I38" s="378"/>
      <c r="J38" s="651">
        <f t="shared" si="1"/>
        <v>0</v>
      </c>
      <c r="K38" s="378"/>
      <c r="L38" s="378"/>
      <c r="M38" s="651">
        <f t="shared" si="2"/>
        <v>0</v>
      </c>
      <c r="N38" s="651">
        <f t="shared" si="3"/>
        <v>0</v>
      </c>
      <c r="O38" s="380"/>
      <c r="P38" s="381" t="e">
        <f t="shared" si="6"/>
        <v>#DIV/0!</v>
      </c>
      <c r="Q38" s="377"/>
      <c r="R38" s="378"/>
      <c r="S38" s="651">
        <f t="shared" si="4"/>
        <v>0</v>
      </c>
      <c r="T38" s="378"/>
      <c r="U38" s="378"/>
      <c r="V38" s="658">
        <f t="shared" si="7"/>
        <v>0</v>
      </c>
      <c r="W38" s="651">
        <f t="shared" si="8"/>
        <v>0</v>
      </c>
      <c r="X38" s="379"/>
      <c r="Y38" s="381" t="e">
        <f t="shared" si="9"/>
        <v>#DIV/0!</v>
      </c>
      <c r="Z38" s="383" t="e">
        <f t="shared" si="10"/>
        <v>#DIV/0!</v>
      </c>
    </row>
    <row r="39" spans="1:26" x14ac:dyDescent="0.25">
      <c r="A39" s="374"/>
      <c r="B39" s="375"/>
      <c r="C39" s="376"/>
      <c r="D39" s="653" t="s">
        <v>199</v>
      </c>
      <c r="E39" s="382">
        <v>0</v>
      </c>
      <c r="F39" s="655">
        <f t="shared" si="5"/>
        <v>1</v>
      </c>
      <c r="G39" s="656"/>
      <c r="H39" s="377"/>
      <c r="I39" s="378"/>
      <c r="J39" s="651">
        <f t="shared" si="1"/>
        <v>0</v>
      </c>
      <c r="K39" s="378"/>
      <c r="L39" s="378"/>
      <c r="M39" s="651">
        <f t="shared" si="2"/>
        <v>0</v>
      </c>
      <c r="N39" s="651">
        <f t="shared" si="3"/>
        <v>0</v>
      </c>
      <c r="O39" s="380"/>
      <c r="P39" s="381" t="e">
        <f t="shared" si="6"/>
        <v>#DIV/0!</v>
      </c>
      <c r="Q39" s="377"/>
      <c r="R39" s="378"/>
      <c r="S39" s="651">
        <f t="shared" si="4"/>
        <v>0</v>
      </c>
      <c r="T39" s="378"/>
      <c r="U39" s="378"/>
      <c r="V39" s="658">
        <f t="shared" si="7"/>
        <v>0</v>
      </c>
      <c r="W39" s="651">
        <f t="shared" si="8"/>
        <v>0</v>
      </c>
      <c r="X39" s="379"/>
      <c r="Y39" s="381" t="e">
        <f t="shared" si="9"/>
        <v>#DIV/0!</v>
      </c>
      <c r="Z39" s="383" t="e">
        <f t="shared" si="10"/>
        <v>#DIV/0!</v>
      </c>
    </row>
    <row r="40" spans="1:26" x14ac:dyDescent="0.25">
      <c r="A40" s="374"/>
      <c r="B40" s="375"/>
      <c r="C40" s="376"/>
      <c r="D40" s="653" t="s">
        <v>199</v>
      </c>
      <c r="E40" s="382">
        <v>0</v>
      </c>
      <c r="F40" s="655">
        <f t="shared" si="5"/>
        <v>1</v>
      </c>
      <c r="G40" s="656"/>
      <c r="H40" s="377"/>
      <c r="I40" s="378"/>
      <c r="J40" s="651">
        <f t="shared" si="1"/>
        <v>0</v>
      </c>
      <c r="K40" s="378"/>
      <c r="L40" s="378"/>
      <c r="M40" s="651">
        <f t="shared" si="2"/>
        <v>0</v>
      </c>
      <c r="N40" s="651">
        <f t="shared" si="3"/>
        <v>0</v>
      </c>
      <c r="O40" s="380"/>
      <c r="P40" s="381" t="e">
        <f t="shared" si="6"/>
        <v>#DIV/0!</v>
      </c>
      <c r="Q40" s="377"/>
      <c r="R40" s="378"/>
      <c r="S40" s="651">
        <f t="shared" si="4"/>
        <v>0</v>
      </c>
      <c r="T40" s="378"/>
      <c r="U40" s="378"/>
      <c r="V40" s="658">
        <f t="shared" si="7"/>
        <v>0</v>
      </c>
      <c r="W40" s="651">
        <f t="shared" si="8"/>
        <v>0</v>
      </c>
      <c r="X40" s="379"/>
      <c r="Y40" s="381" t="e">
        <f t="shared" si="9"/>
        <v>#DIV/0!</v>
      </c>
      <c r="Z40" s="383" t="e">
        <f t="shared" si="10"/>
        <v>#DIV/0!</v>
      </c>
    </row>
    <row r="41" spans="1:26" x14ac:dyDescent="0.25">
      <c r="A41" s="374"/>
      <c r="B41" s="375"/>
      <c r="C41" s="376"/>
      <c r="D41" s="653" t="s">
        <v>199</v>
      </c>
      <c r="E41" s="382">
        <v>0</v>
      </c>
      <c r="F41" s="655">
        <f t="shared" si="5"/>
        <v>1</v>
      </c>
      <c r="G41" s="656"/>
      <c r="H41" s="377"/>
      <c r="I41" s="378"/>
      <c r="J41" s="651">
        <f t="shared" si="1"/>
        <v>0</v>
      </c>
      <c r="K41" s="378"/>
      <c r="L41" s="378"/>
      <c r="M41" s="651">
        <f t="shared" si="2"/>
        <v>0</v>
      </c>
      <c r="N41" s="651">
        <f t="shared" si="3"/>
        <v>0</v>
      </c>
      <c r="O41" s="380"/>
      <c r="P41" s="381" t="e">
        <f t="shared" si="6"/>
        <v>#DIV/0!</v>
      </c>
      <c r="Q41" s="377"/>
      <c r="R41" s="378"/>
      <c r="S41" s="651">
        <f t="shared" si="4"/>
        <v>0</v>
      </c>
      <c r="T41" s="378"/>
      <c r="U41" s="378"/>
      <c r="V41" s="658">
        <f t="shared" si="7"/>
        <v>0</v>
      </c>
      <c r="W41" s="651">
        <f t="shared" si="8"/>
        <v>0</v>
      </c>
      <c r="X41" s="379"/>
      <c r="Y41" s="381" t="e">
        <f t="shared" si="9"/>
        <v>#DIV/0!</v>
      </c>
      <c r="Z41" s="383" t="e">
        <f t="shared" si="10"/>
        <v>#DIV/0!</v>
      </c>
    </row>
    <row r="42" spans="1:26" x14ac:dyDescent="0.25">
      <c r="A42" s="374"/>
      <c r="B42" s="375"/>
      <c r="C42" s="376"/>
      <c r="D42" s="653" t="s">
        <v>199</v>
      </c>
      <c r="E42" s="382">
        <v>0</v>
      </c>
      <c r="F42" s="655">
        <f t="shared" si="5"/>
        <v>1</v>
      </c>
      <c r="G42" s="656"/>
      <c r="H42" s="377"/>
      <c r="I42" s="378"/>
      <c r="J42" s="651">
        <f t="shared" si="1"/>
        <v>0</v>
      </c>
      <c r="K42" s="378"/>
      <c r="L42" s="378"/>
      <c r="M42" s="651">
        <f t="shared" si="2"/>
        <v>0</v>
      </c>
      <c r="N42" s="651">
        <f t="shared" si="3"/>
        <v>0</v>
      </c>
      <c r="O42" s="380"/>
      <c r="P42" s="381" t="e">
        <f t="shared" si="6"/>
        <v>#DIV/0!</v>
      </c>
      <c r="Q42" s="377"/>
      <c r="R42" s="378"/>
      <c r="S42" s="651">
        <f t="shared" si="4"/>
        <v>0</v>
      </c>
      <c r="T42" s="378"/>
      <c r="U42" s="378"/>
      <c r="V42" s="658">
        <f t="shared" si="7"/>
        <v>0</v>
      </c>
      <c r="W42" s="651">
        <f t="shared" si="8"/>
        <v>0</v>
      </c>
      <c r="X42" s="379"/>
      <c r="Y42" s="381" t="e">
        <f t="shared" si="9"/>
        <v>#DIV/0!</v>
      </c>
      <c r="Z42" s="383" t="e">
        <f t="shared" si="10"/>
        <v>#DIV/0!</v>
      </c>
    </row>
    <row r="43" spans="1:26" x14ac:dyDescent="0.25">
      <c r="A43" s="374"/>
      <c r="B43" s="375"/>
      <c r="C43" s="376"/>
      <c r="D43" s="653" t="s">
        <v>199</v>
      </c>
      <c r="E43" s="382">
        <v>0</v>
      </c>
      <c r="F43" s="655">
        <f t="shared" si="5"/>
        <v>1</v>
      </c>
      <c r="G43" s="656"/>
      <c r="H43" s="377"/>
      <c r="I43" s="378"/>
      <c r="J43" s="651">
        <f t="shared" si="1"/>
        <v>0</v>
      </c>
      <c r="K43" s="378"/>
      <c r="L43" s="378"/>
      <c r="M43" s="651">
        <f t="shared" si="2"/>
        <v>0</v>
      </c>
      <c r="N43" s="651">
        <f t="shared" si="3"/>
        <v>0</v>
      </c>
      <c r="O43" s="380"/>
      <c r="P43" s="381" t="e">
        <f t="shared" si="6"/>
        <v>#DIV/0!</v>
      </c>
      <c r="Q43" s="377"/>
      <c r="R43" s="378"/>
      <c r="S43" s="651">
        <f t="shared" si="4"/>
        <v>0</v>
      </c>
      <c r="T43" s="378"/>
      <c r="U43" s="378"/>
      <c r="V43" s="658">
        <f t="shared" si="7"/>
        <v>0</v>
      </c>
      <c r="W43" s="651">
        <f t="shared" si="8"/>
        <v>0</v>
      </c>
      <c r="X43" s="379"/>
      <c r="Y43" s="381" t="e">
        <f t="shared" si="9"/>
        <v>#DIV/0!</v>
      </c>
      <c r="Z43" s="383" t="e">
        <f t="shared" si="10"/>
        <v>#DIV/0!</v>
      </c>
    </row>
    <row r="44" spans="1:26" x14ac:dyDescent="0.25">
      <c r="A44" s="374"/>
      <c r="B44" s="375"/>
      <c r="C44" s="376"/>
      <c r="D44" s="653" t="s">
        <v>199</v>
      </c>
      <c r="E44" s="382">
        <v>0</v>
      </c>
      <c r="F44" s="655">
        <f t="shared" si="5"/>
        <v>1</v>
      </c>
      <c r="G44" s="656"/>
      <c r="H44" s="377"/>
      <c r="I44" s="378"/>
      <c r="J44" s="651">
        <f t="shared" si="1"/>
        <v>0</v>
      </c>
      <c r="K44" s="378"/>
      <c r="L44" s="378"/>
      <c r="M44" s="651">
        <f t="shared" si="2"/>
        <v>0</v>
      </c>
      <c r="N44" s="651">
        <f t="shared" si="3"/>
        <v>0</v>
      </c>
      <c r="O44" s="380"/>
      <c r="P44" s="381" t="e">
        <f t="shared" si="6"/>
        <v>#DIV/0!</v>
      </c>
      <c r="Q44" s="377"/>
      <c r="R44" s="378"/>
      <c r="S44" s="651">
        <f t="shared" si="4"/>
        <v>0</v>
      </c>
      <c r="T44" s="378"/>
      <c r="U44" s="378"/>
      <c r="V44" s="658">
        <f t="shared" si="7"/>
        <v>0</v>
      </c>
      <c r="W44" s="651">
        <f t="shared" si="8"/>
        <v>0</v>
      </c>
      <c r="X44" s="379"/>
      <c r="Y44" s="381" t="e">
        <f t="shared" si="9"/>
        <v>#DIV/0!</v>
      </c>
      <c r="Z44" s="383" t="e">
        <f t="shared" si="10"/>
        <v>#DIV/0!</v>
      </c>
    </row>
    <row r="45" spans="1:26" x14ac:dyDescent="0.25">
      <c r="A45" s="374"/>
      <c r="B45" s="375"/>
      <c r="C45" s="376"/>
      <c r="D45" s="653" t="s">
        <v>199</v>
      </c>
      <c r="E45" s="382">
        <v>0</v>
      </c>
      <c r="F45" s="655">
        <f t="shared" si="5"/>
        <v>1</v>
      </c>
      <c r="G45" s="656"/>
      <c r="H45" s="377"/>
      <c r="I45" s="378"/>
      <c r="J45" s="651">
        <f t="shared" si="1"/>
        <v>0</v>
      </c>
      <c r="K45" s="378"/>
      <c r="L45" s="378"/>
      <c r="M45" s="651">
        <f t="shared" si="2"/>
        <v>0</v>
      </c>
      <c r="N45" s="651">
        <f t="shared" si="3"/>
        <v>0</v>
      </c>
      <c r="O45" s="380"/>
      <c r="P45" s="381" t="e">
        <f t="shared" si="6"/>
        <v>#DIV/0!</v>
      </c>
      <c r="Q45" s="377"/>
      <c r="R45" s="378"/>
      <c r="S45" s="651">
        <f t="shared" si="4"/>
        <v>0</v>
      </c>
      <c r="T45" s="378"/>
      <c r="U45" s="378"/>
      <c r="V45" s="658">
        <f t="shared" si="7"/>
        <v>0</v>
      </c>
      <c r="W45" s="651">
        <f t="shared" si="8"/>
        <v>0</v>
      </c>
      <c r="X45" s="379"/>
      <c r="Y45" s="381" t="e">
        <f t="shared" si="9"/>
        <v>#DIV/0!</v>
      </c>
      <c r="Z45" s="383" t="e">
        <f t="shared" si="10"/>
        <v>#DIV/0!</v>
      </c>
    </row>
    <row r="46" spans="1:26" ht="15.75" thickBot="1" x14ac:dyDescent="0.3">
      <c r="A46" s="384"/>
      <c r="B46" s="385"/>
      <c r="C46" s="386"/>
      <c r="D46" s="654" t="s">
        <v>199</v>
      </c>
      <c r="E46" s="382">
        <v>0</v>
      </c>
      <c r="F46" s="655">
        <f t="shared" si="5"/>
        <v>1</v>
      </c>
      <c r="G46" s="657"/>
      <c r="H46" s="388"/>
      <c r="I46" s="389"/>
      <c r="J46" s="652"/>
      <c r="K46" s="389"/>
      <c r="L46" s="389"/>
      <c r="M46" s="652"/>
      <c r="N46" s="652"/>
      <c r="O46" s="390"/>
      <c r="P46" s="387"/>
      <c r="Q46" s="391"/>
      <c r="R46" s="389"/>
      <c r="S46" s="652"/>
      <c r="T46" s="389"/>
      <c r="U46" s="389"/>
      <c r="V46" s="659"/>
      <c r="W46" s="652"/>
      <c r="X46" s="392"/>
      <c r="Y46" s="387"/>
      <c r="Z46" s="393"/>
    </row>
    <row r="47" spans="1:26" ht="15.75" thickTop="1" x14ac:dyDescent="0.25"/>
  </sheetData>
  <mergeCells count="38">
    <mergeCell ref="F3:F5"/>
    <mergeCell ref="Q1:T1"/>
    <mergeCell ref="U1:W1"/>
    <mergeCell ref="A2:D2"/>
    <mergeCell ref="E2:F2"/>
    <mergeCell ref="H2:P2"/>
    <mergeCell ref="A3:A5"/>
    <mergeCell ref="B3:B5"/>
    <mergeCell ref="C3:C5"/>
    <mergeCell ref="D3:D5"/>
    <mergeCell ref="E3:E5"/>
    <mergeCell ref="G3:G5"/>
    <mergeCell ref="H3:J3"/>
    <mergeCell ref="K3:M3"/>
    <mergeCell ref="P3:P5"/>
    <mergeCell ref="O3:O5"/>
    <mergeCell ref="M4:M5"/>
    <mergeCell ref="H4:H5"/>
    <mergeCell ref="I4:I5"/>
    <mergeCell ref="J4:J5"/>
    <mergeCell ref="K4:K5"/>
    <mergeCell ref="L4:L5"/>
    <mergeCell ref="B1:P1"/>
    <mergeCell ref="Y1:Z1"/>
    <mergeCell ref="Q2:Y2"/>
    <mergeCell ref="Z2:Z5"/>
    <mergeCell ref="Y3:Y5"/>
    <mergeCell ref="X3:X5"/>
    <mergeCell ref="V4:V5"/>
    <mergeCell ref="Q3:S3"/>
    <mergeCell ref="T3:V3"/>
    <mergeCell ref="W3:W5"/>
    <mergeCell ref="Q4:Q5"/>
    <mergeCell ref="R4:R5"/>
    <mergeCell ref="S4:S5"/>
    <mergeCell ref="T4:T5"/>
    <mergeCell ref="U4:U5"/>
    <mergeCell ref="N3:N5"/>
  </mergeCells>
  <pageMargins left="0.25" right="0.25" top="0.75" bottom="0.75" header="0.3" footer="0.3"/>
  <pageSetup paperSize="8" orientation="landscape" r:id="rId1"/>
  <headerFooter>
    <oddHeader>&amp;L&amp;"Calibri,Normal"&amp;12EL RHALMANI OUSSAMA&amp;C&amp;"Calibri,Gras"&amp;20COÛT DES MATÉRIAUX RENDUS CHANTIER&amp;R&amp;"Calibri,Normal"&amp;12TS 424 EP</oddHeader>
    <oddFooter>&amp;C&amp;P/&amp;N</oddFooter>
  </headerFooter>
  <ignoredErrors>
    <ignoredError sqref="Y8:Y39 Z40:Z45 Z9:Z39 P9:P39 Y40:Y45 P40:P45" evalError="1"/>
    <ignoredError sqref="B1" unlocked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A599B16-1B74-43B2-8E4A-C8A7067A1A6D}">
          <x14:formula1>
            <xm:f>Notes!$B$3:$B$12</xm:f>
          </x14:formula1>
          <xm:sqref>D8:D46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BA47B-1F7F-449D-B0EC-4692777AB382}">
  <dimension ref="A1:G41"/>
  <sheetViews>
    <sheetView view="pageLayout" topLeftCell="A2" zoomScaleNormal="100" workbookViewId="0">
      <selection activeCell="E10" sqref="E10"/>
    </sheetView>
  </sheetViews>
  <sheetFormatPr baseColWidth="10" defaultRowHeight="15" x14ac:dyDescent="0.25"/>
  <cols>
    <col min="1" max="1" width="29.42578125" customWidth="1"/>
    <col min="2" max="2" width="6.42578125" customWidth="1"/>
    <col min="3" max="7" width="12.5703125" customWidth="1"/>
  </cols>
  <sheetData>
    <row r="1" spans="1:7" ht="18.95" customHeight="1" thickTop="1" x14ac:dyDescent="0.25">
      <c r="A1" s="184" t="s">
        <v>523</v>
      </c>
      <c r="B1" s="1360">
        <f>'(C.H.M) MAIN D''OEUVRE'!C2</f>
        <v>1</v>
      </c>
      <c r="C1" s="1360"/>
      <c r="D1" s="1360"/>
      <c r="E1" s="1361"/>
      <c r="F1" s="185" t="s">
        <v>329</v>
      </c>
      <c r="G1" s="183">
        <f ca="1">TODAY()</f>
        <v>46093</v>
      </c>
    </row>
    <row r="2" spans="1:7" ht="18.95" customHeight="1" thickBot="1" x14ac:dyDescent="0.3">
      <c r="A2" s="186" t="s">
        <v>524</v>
      </c>
      <c r="B2" s="1362"/>
      <c r="C2" s="1363"/>
      <c r="D2" s="1363"/>
      <c r="E2" s="1362"/>
      <c r="F2" s="1362"/>
      <c r="G2" s="1364"/>
    </row>
    <row r="3" spans="1:7" ht="18.95" customHeight="1" thickTop="1" thickBot="1" x14ac:dyDescent="0.3">
      <c r="A3" s="1335" t="s">
        <v>525</v>
      </c>
      <c r="B3" s="1336"/>
      <c r="C3" s="1368"/>
      <c r="D3" s="1369"/>
      <c r="E3" s="1363"/>
      <c r="F3" s="1363"/>
      <c r="G3" s="1372"/>
    </row>
    <row r="4" spans="1:7" ht="18.95" customHeight="1" thickTop="1" thickBot="1" x14ac:dyDescent="0.3">
      <c r="A4" s="1335" t="s">
        <v>526</v>
      </c>
      <c r="B4" s="1336"/>
      <c r="C4" s="1370"/>
      <c r="D4" s="1371"/>
      <c r="E4" s="1347"/>
      <c r="F4" s="1347"/>
      <c r="G4" s="1351"/>
    </row>
    <row r="5" spans="1:7" ht="18.95" customHeight="1" thickTop="1" x14ac:dyDescent="0.25">
      <c r="A5" s="1354" t="s">
        <v>536</v>
      </c>
      <c r="B5" s="1355"/>
      <c r="C5" s="1355"/>
      <c r="D5" s="1355"/>
      <c r="E5" s="1355"/>
      <c r="F5" s="1355"/>
      <c r="G5" s="1356"/>
    </row>
    <row r="6" spans="1:7" ht="18.95" customHeight="1" thickBot="1" x14ac:dyDescent="0.3">
      <c r="A6" s="1357"/>
      <c r="B6" s="1358"/>
      <c r="C6" s="1358"/>
      <c r="D6" s="1358"/>
      <c r="E6" s="1358"/>
      <c r="F6" s="1358"/>
      <c r="G6" s="1359"/>
    </row>
    <row r="7" spans="1:7" ht="16.5" thickTop="1" x14ac:dyDescent="0.25">
      <c r="A7" s="1344" t="s">
        <v>333</v>
      </c>
      <c r="B7" s="1346" t="s">
        <v>163</v>
      </c>
      <c r="C7" s="1348" t="s">
        <v>334</v>
      </c>
      <c r="D7" s="1350" t="s">
        <v>335</v>
      </c>
      <c r="E7" s="1352" t="s">
        <v>336</v>
      </c>
      <c r="F7" s="1347"/>
      <c r="G7" s="1353"/>
    </row>
    <row r="8" spans="1:7" ht="15.75" x14ac:dyDescent="0.25">
      <c r="A8" s="1345"/>
      <c r="B8" s="1347"/>
      <c r="C8" s="1349"/>
      <c r="D8" s="1351"/>
      <c r="E8" s="172" t="s">
        <v>150</v>
      </c>
      <c r="F8" s="172" t="s">
        <v>337</v>
      </c>
      <c r="G8" s="174" t="s">
        <v>338</v>
      </c>
    </row>
    <row r="9" spans="1:7" ht="15.75" x14ac:dyDescent="0.25">
      <c r="A9" s="179" t="s">
        <v>533</v>
      </c>
      <c r="B9" s="162"/>
      <c r="C9" s="163"/>
      <c r="D9" s="164"/>
      <c r="E9" s="161"/>
      <c r="F9" s="161"/>
      <c r="G9" s="173"/>
    </row>
    <row r="10" spans="1:7" ht="15.75" x14ac:dyDescent="0.25">
      <c r="A10" s="176"/>
      <c r="B10" s="162"/>
      <c r="C10" s="165"/>
      <c r="D10" s="166"/>
      <c r="E10" s="167">
        <f>D10*C10</f>
        <v>0</v>
      </c>
      <c r="F10" s="166"/>
      <c r="G10" s="177"/>
    </row>
    <row r="11" spans="1:7" ht="15.75" x14ac:dyDescent="0.25">
      <c r="A11" s="176"/>
      <c r="B11" s="162"/>
      <c r="C11" s="166"/>
      <c r="D11" s="166"/>
      <c r="E11" s="167"/>
      <c r="F11" s="166"/>
      <c r="G11" s="177"/>
    </row>
    <row r="12" spans="1:7" ht="15.75" x14ac:dyDescent="0.25">
      <c r="A12" s="176"/>
      <c r="B12" s="162"/>
      <c r="C12" s="167"/>
      <c r="D12" s="167"/>
      <c r="E12" s="167"/>
      <c r="F12" s="166"/>
      <c r="G12" s="177"/>
    </row>
    <row r="13" spans="1:7" ht="15.75" x14ac:dyDescent="0.25">
      <c r="A13" s="176"/>
      <c r="B13" s="162"/>
      <c r="C13" s="167"/>
      <c r="D13" s="167"/>
      <c r="E13" s="167"/>
      <c r="F13" s="166"/>
      <c r="G13" s="177"/>
    </row>
    <row r="14" spans="1:7" ht="15.75" x14ac:dyDescent="0.25">
      <c r="A14" s="176"/>
      <c r="B14" s="162"/>
      <c r="C14" s="166"/>
      <c r="D14" s="166"/>
      <c r="E14" s="166"/>
      <c r="F14" s="166"/>
      <c r="G14" s="177"/>
    </row>
    <row r="15" spans="1:7" ht="15.75" x14ac:dyDescent="0.25">
      <c r="A15" s="176"/>
      <c r="B15" s="162"/>
      <c r="C15" s="166"/>
      <c r="D15" s="166"/>
      <c r="E15" s="166"/>
      <c r="F15" s="166"/>
      <c r="G15" s="177"/>
    </row>
    <row r="16" spans="1:7" ht="15.75" x14ac:dyDescent="0.25">
      <c r="A16" s="176"/>
      <c r="B16" s="162"/>
      <c r="C16" s="166"/>
      <c r="D16" s="166"/>
      <c r="E16" s="166"/>
      <c r="F16" s="166"/>
      <c r="G16" s="177"/>
    </row>
    <row r="17" spans="1:7" ht="15.75" x14ac:dyDescent="0.25">
      <c r="A17" s="175" t="s">
        <v>532</v>
      </c>
      <c r="B17" s="162" t="s">
        <v>86</v>
      </c>
      <c r="C17" s="166"/>
      <c r="D17" s="166"/>
      <c r="E17" s="166"/>
      <c r="F17" s="169">
        <f>C17*D17</f>
        <v>0</v>
      </c>
      <c r="G17" s="177"/>
    </row>
    <row r="18" spans="1:7" ht="15.75" x14ac:dyDescent="0.25">
      <c r="A18" s="176"/>
      <c r="B18" s="162"/>
      <c r="C18" s="166"/>
      <c r="D18" s="166"/>
      <c r="E18" s="166"/>
      <c r="F18" s="166"/>
      <c r="G18" s="177"/>
    </row>
    <row r="19" spans="1:7" ht="15.75" x14ac:dyDescent="0.25">
      <c r="A19" s="179" t="s">
        <v>531</v>
      </c>
      <c r="B19" s="162" t="s">
        <v>3</v>
      </c>
      <c r="C19" s="166"/>
      <c r="D19" s="166"/>
      <c r="E19" s="166"/>
      <c r="F19" s="166"/>
      <c r="G19" s="188">
        <f>D19</f>
        <v>0</v>
      </c>
    </row>
    <row r="20" spans="1:7" ht="16.5" thickBot="1" x14ac:dyDescent="0.3">
      <c r="A20" s="176"/>
      <c r="B20" s="162"/>
      <c r="C20" s="166"/>
      <c r="D20" s="166"/>
      <c r="E20" s="168"/>
      <c r="F20" s="168"/>
      <c r="G20" s="178"/>
    </row>
    <row r="21" spans="1:7" ht="18.95" customHeight="1" thickTop="1" thickBot="1" x14ac:dyDescent="0.3">
      <c r="A21" s="1335" t="s">
        <v>530</v>
      </c>
      <c r="B21" s="1336"/>
      <c r="C21" s="1336"/>
      <c r="D21" s="1337"/>
      <c r="E21" s="189">
        <f>SUM(E9:E14)</f>
        <v>0</v>
      </c>
      <c r="F21" s="190">
        <f>F17</f>
        <v>0</v>
      </c>
      <c r="G21" s="191">
        <f>G19</f>
        <v>0</v>
      </c>
    </row>
    <row r="22" spans="1:7" ht="18.95" customHeight="1" thickTop="1" thickBot="1" x14ac:dyDescent="0.3">
      <c r="A22" s="1338" t="s">
        <v>527</v>
      </c>
      <c r="B22" s="1339"/>
      <c r="C22" s="1339"/>
      <c r="D22" s="1339"/>
      <c r="E22" s="1339"/>
      <c r="F22" s="1339"/>
      <c r="G22" s="192">
        <f>SUM(E21,F21,G21)</f>
        <v>0</v>
      </c>
    </row>
    <row r="23" spans="1:7" ht="18.95" customHeight="1" thickBot="1" x14ac:dyDescent="0.3">
      <c r="A23" s="1340" t="s">
        <v>534</v>
      </c>
      <c r="B23" s="1341"/>
      <c r="C23" s="1341"/>
      <c r="D23" s="1341"/>
      <c r="E23" s="1341"/>
      <c r="F23" s="1341"/>
      <c r="G23" s="193">
        <f>G22*D3</f>
        <v>0</v>
      </c>
    </row>
    <row r="24" spans="1:7" ht="18.95" customHeight="1" thickTop="1" thickBot="1" x14ac:dyDescent="0.3">
      <c r="A24" s="1342" t="s">
        <v>535</v>
      </c>
      <c r="B24" s="1343"/>
      <c r="C24" s="1343"/>
      <c r="D24" s="1343"/>
      <c r="E24" s="1343"/>
      <c r="F24" s="1343"/>
      <c r="G24" s="244" t="e">
        <f>ROUND(G23/D4,2)</f>
        <v>#DIV/0!</v>
      </c>
    </row>
    <row r="25" spans="1:7" ht="16.5" customHeight="1" thickTop="1" x14ac:dyDescent="0.25">
      <c r="A25" s="1354" t="s">
        <v>351</v>
      </c>
      <c r="B25" s="1355"/>
      <c r="C25" s="1355"/>
      <c r="D25" s="1355"/>
      <c r="E25" s="1355"/>
      <c r="F25" s="1355"/>
      <c r="G25" s="1356"/>
    </row>
    <row r="26" spans="1:7" ht="15.75" thickBot="1" x14ac:dyDescent="0.3">
      <c r="A26" s="1357"/>
      <c r="B26" s="1358"/>
      <c r="C26" s="1358"/>
      <c r="D26" s="1358"/>
      <c r="E26" s="1358"/>
      <c r="F26" s="1358"/>
      <c r="G26" s="1359"/>
    </row>
    <row r="27" spans="1:7" ht="16.5" thickTop="1" x14ac:dyDescent="0.25">
      <c r="A27" s="1344" t="s">
        <v>333</v>
      </c>
      <c r="B27" s="1346" t="s">
        <v>163</v>
      </c>
      <c r="C27" s="1348" t="s">
        <v>334</v>
      </c>
      <c r="D27" s="1350" t="s">
        <v>335</v>
      </c>
      <c r="E27" s="1352" t="s">
        <v>336</v>
      </c>
      <c r="F27" s="1347"/>
      <c r="G27" s="1353"/>
    </row>
    <row r="28" spans="1:7" ht="15.75" x14ac:dyDescent="0.25">
      <c r="A28" s="1345"/>
      <c r="B28" s="1347"/>
      <c r="C28" s="1349"/>
      <c r="D28" s="1351"/>
      <c r="E28" s="172" t="s">
        <v>150</v>
      </c>
      <c r="F28" s="172" t="s">
        <v>337</v>
      </c>
      <c r="G28" s="174" t="s">
        <v>170</v>
      </c>
    </row>
    <row r="29" spans="1:7" ht="15.75" x14ac:dyDescent="0.25">
      <c r="A29" s="179" t="s">
        <v>533</v>
      </c>
      <c r="B29" s="162"/>
      <c r="C29" s="165"/>
      <c r="D29" s="165"/>
      <c r="E29" s="165"/>
      <c r="F29" s="165"/>
      <c r="G29" s="177"/>
    </row>
    <row r="30" spans="1:7" ht="15.75" x14ac:dyDescent="0.25">
      <c r="A30" s="180"/>
      <c r="B30" s="162"/>
      <c r="C30" s="165"/>
      <c r="D30" s="169"/>
      <c r="E30" s="169">
        <f>C30*D30</f>
        <v>0</v>
      </c>
      <c r="F30" s="165"/>
      <c r="G30" s="177"/>
    </row>
    <row r="31" spans="1:7" ht="15.75" x14ac:dyDescent="0.25">
      <c r="A31" s="180"/>
      <c r="B31" s="162"/>
      <c r="C31" s="165"/>
      <c r="D31" s="165"/>
      <c r="E31" s="165"/>
      <c r="F31" s="169"/>
      <c r="G31" s="181"/>
    </row>
    <row r="32" spans="1:7" ht="15.75" x14ac:dyDescent="0.25">
      <c r="A32" s="180"/>
      <c r="B32" s="162"/>
      <c r="C32" s="165"/>
      <c r="D32" s="165"/>
      <c r="E32" s="165"/>
      <c r="F32" s="165"/>
      <c r="G32" s="181"/>
    </row>
    <row r="33" spans="1:7" ht="15.75" x14ac:dyDescent="0.25">
      <c r="A33" s="175" t="s">
        <v>532</v>
      </c>
      <c r="B33" s="162" t="s">
        <v>86</v>
      </c>
      <c r="C33" s="165"/>
      <c r="D33" s="165"/>
      <c r="E33" s="165"/>
      <c r="F33" s="169">
        <f>C33*D33</f>
        <v>0</v>
      </c>
      <c r="G33" s="181"/>
    </row>
    <row r="34" spans="1:7" ht="15.75" x14ac:dyDescent="0.25">
      <c r="A34" s="180"/>
      <c r="B34" s="162"/>
      <c r="C34" s="165"/>
      <c r="D34" s="165"/>
      <c r="E34" s="165"/>
      <c r="F34" s="165"/>
      <c r="G34" s="181"/>
    </row>
    <row r="35" spans="1:7" ht="15.75" x14ac:dyDescent="0.25">
      <c r="A35" s="179" t="s">
        <v>531</v>
      </c>
      <c r="B35" s="162" t="s">
        <v>3</v>
      </c>
      <c r="C35" s="165"/>
      <c r="D35" s="165"/>
      <c r="E35" s="165"/>
      <c r="F35" s="165"/>
      <c r="G35" s="188">
        <f>D35</f>
        <v>0</v>
      </c>
    </row>
    <row r="36" spans="1:7" ht="16.5" thickBot="1" x14ac:dyDescent="0.3">
      <c r="A36" s="187"/>
      <c r="B36" s="162"/>
      <c r="C36" s="170"/>
      <c r="D36" s="170"/>
      <c r="E36" s="171"/>
      <c r="F36" s="171"/>
      <c r="G36" s="182"/>
    </row>
    <row r="37" spans="1:7" ht="18.95" customHeight="1" thickTop="1" thickBot="1" x14ac:dyDescent="0.3">
      <c r="A37" s="1335" t="s">
        <v>530</v>
      </c>
      <c r="B37" s="1336"/>
      <c r="C37" s="1336"/>
      <c r="D37" s="1337"/>
      <c r="E37" s="189">
        <f>E30</f>
        <v>0</v>
      </c>
      <c r="F37" s="194">
        <f>F31</f>
        <v>0</v>
      </c>
      <c r="G37" s="194">
        <f>G36</f>
        <v>0</v>
      </c>
    </row>
    <row r="38" spans="1:7" ht="18.95" customHeight="1" thickTop="1" thickBot="1" x14ac:dyDescent="0.3">
      <c r="A38" s="1365" t="s">
        <v>527</v>
      </c>
      <c r="B38" s="1366"/>
      <c r="C38" s="1366"/>
      <c r="D38" s="1366"/>
      <c r="E38" s="1366"/>
      <c r="F38" s="1367"/>
      <c r="G38" s="195">
        <f>E36+F36+G36</f>
        <v>0</v>
      </c>
    </row>
    <row r="39" spans="1:7" ht="18.95" customHeight="1" thickTop="1" thickBot="1" x14ac:dyDescent="0.3">
      <c r="A39" s="1332" t="s">
        <v>529</v>
      </c>
      <c r="B39" s="1333"/>
      <c r="C39" s="1333"/>
      <c r="D39" s="1333"/>
      <c r="E39" s="1333"/>
      <c r="F39" s="1334"/>
      <c r="G39" s="195">
        <f>E37+F37+G37</f>
        <v>0</v>
      </c>
    </row>
    <row r="40" spans="1:7" ht="18.95" customHeight="1" thickTop="1" thickBot="1" x14ac:dyDescent="0.3">
      <c r="A40" s="1332" t="s">
        <v>528</v>
      </c>
      <c r="B40" s="1333"/>
      <c r="C40" s="1333"/>
      <c r="D40" s="1333"/>
      <c r="E40" s="1333"/>
      <c r="F40" s="1334"/>
      <c r="G40" s="245" t="e">
        <f>G39+G24</f>
        <v>#DIV/0!</v>
      </c>
    </row>
    <row r="41" spans="1:7" ht="16.5" thickTop="1" x14ac:dyDescent="0.25">
      <c r="A41" s="38"/>
      <c r="B41" s="38"/>
      <c r="C41" s="38"/>
      <c r="D41" s="38"/>
      <c r="E41" s="38"/>
      <c r="F41" s="38"/>
      <c r="G41" s="38"/>
    </row>
  </sheetData>
  <mergeCells count="27">
    <mergeCell ref="B1:E1"/>
    <mergeCell ref="A5:G6"/>
    <mergeCell ref="B2:G2"/>
    <mergeCell ref="A37:D37"/>
    <mergeCell ref="A38:F38"/>
    <mergeCell ref="A7:A8"/>
    <mergeCell ref="B7:B8"/>
    <mergeCell ref="C7:C8"/>
    <mergeCell ref="C3:D3"/>
    <mergeCell ref="C4:D4"/>
    <mergeCell ref="A3:B3"/>
    <mergeCell ref="A4:B4"/>
    <mergeCell ref="E3:G4"/>
    <mergeCell ref="D7:D8"/>
    <mergeCell ref="E7:G7"/>
    <mergeCell ref="A40:F40"/>
    <mergeCell ref="A21:D21"/>
    <mergeCell ref="A22:F22"/>
    <mergeCell ref="A23:F23"/>
    <mergeCell ref="A24:F24"/>
    <mergeCell ref="A27:A28"/>
    <mergeCell ref="B27:B28"/>
    <mergeCell ref="C27:C28"/>
    <mergeCell ref="D27:D28"/>
    <mergeCell ref="E27:G27"/>
    <mergeCell ref="A25:G26"/>
    <mergeCell ref="A39:F39"/>
  </mergeCells>
  <pageMargins left="0.25" right="0.25" top="0.75" bottom="0.75" header="0.3" footer="0.3"/>
  <pageSetup paperSize="9" orientation="portrait" r:id="rId1"/>
  <headerFooter>
    <oddHeader>&amp;LEL RHALMANI OUSSAMA&amp;C&amp;"-,Gras"&amp;20PRIX DES COFFRAGES&amp;RTS 424 EP</oddHeader>
    <oddFooter>&amp;C&amp;P/&amp;N</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0AF6DE0-A0BF-4297-A912-1945C6423D15}">
          <x14:formula1>
            <xm:f>Notes!$B$3:$B$13</xm:f>
          </x14:formula1>
          <xm:sqref>B9:B20 B29:B36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47F9-7C74-45E5-905C-53B7B86060D1}">
  <dimension ref="A1:G29"/>
  <sheetViews>
    <sheetView view="pageLayout" topLeftCell="A10" zoomScaleNormal="100" workbookViewId="0">
      <selection activeCell="B1" sqref="B1:E1"/>
    </sheetView>
  </sheetViews>
  <sheetFormatPr baseColWidth="10" defaultColWidth="11.42578125" defaultRowHeight="15" x14ac:dyDescent="0.2"/>
  <cols>
    <col min="1" max="1" width="23" style="207" customWidth="1"/>
    <col min="2" max="2" width="4.42578125" style="209" customWidth="1"/>
    <col min="3" max="3" width="8.140625" style="209" customWidth="1"/>
    <col min="4" max="4" width="13.28515625" style="209" customWidth="1"/>
    <col min="5" max="5" width="15.85546875" style="209" customWidth="1"/>
    <col min="6" max="6" width="16.7109375" style="209" customWidth="1"/>
    <col min="7" max="7" width="17.140625" style="100" customWidth="1"/>
    <col min="8" max="8" width="11.42578125" style="98" customWidth="1"/>
    <col min="9" max="9" width="9" style="98" customWidth="1"/>
    <col min="10" max="255" width="11.42578125" style="98"/>
    <col min="256" max="256" width="0.5703125" style="98" customWidth="1"/>
    <col min="257" max="257" width="23" style="98" customWidth="1"/>
    <col min="258" max="258" width="5.42578125" style="98" customWidth="1"/>
    <col min="259" max="259" width="13.28515625" style="98" customWidth="1"/>
    <col min="260" max="260" width="15.85546875" style="98" customWidth="1"/>
    <col min="261" max="261" width="16.7109375" style="98" customWidth="1"/>
    <col min="262" max="262" width="17.140625" style="98" customWidth="1"/>
    <col min="263" max="263" width="1.140625" style="98" customWidth="1"/>
    <col min="264" max="264" width="11.42578125" style="98"/>
    <col min="265" max="265" width="9" style="98" customWidth="1"/>
    <col min="266" max="511" width="11.42578125" style="98"/>
    <col min="512" max="512" width="0.5703125" style="98" customWidth="1"/>
    <col min="513" max="513" width="23" style="98" customWidth="1"/>
    <col min="514" max="514" width="5.42578125" style="98" customWidth="1"/>
    <col min="515" max="515" width="13.28515625" style="98" customWidth="1"/>
    <col min="516" max="516" width="15.85546875" style="98" customWidth="1"/>
    <col min="517" max="517" width="16.7109375" style="98" customWidth="1"/>
    <col min="518" max="518" width="17.140625" style="98" customWidth="1"/>
    <col min="519" max="519" width="1.140625" style="98" customWidth="1"/>
    <col min="520" max="520" width="11.42578125" style="98"/>
    <col min="521" max="521" width="9" style="98" customWidth="1"/>
    <col min="522" max="767" width="11.42578125" style="98"/>
    <col min="768" max="768" width="0.5703125" style="98" customWidth="1"/>
    <col min="769" max="769" width="23" style="98" customWidth="1"/>
    <col min="770" max="770" width="5.42578125" style="98" customWidth="1"/>
    <col min="771" max="771" width="13.28515625" style="98" customWidth="1"/>
    <col min="772" max="772" width="15.85546875" style="98" customWidth="1"/>
    <col min="773" max="773" width="16.7109375" style="98" customWidth="1"/>
    <col min="774" max="774" width="17.140625" style="98" customWidth="1"/>
    <col min="775" max="775" width="1.140625" style="98" customWidth="1"/>
    <col min="776" max="776" width="11.42578125" style="98"/>
    <col min="777" max="777" width="9" style="98" customWidth="1"/>
    <col min="778" max="1023" width="11.42578125" style="98"/>
    <col min="1024" max="1024" width="0.5703125" style="98" customWidth="1"/>
    <col min="1025" max="1025" width="23" style="98" customWidth="1"/>
    <col min="1026" max="1026" width="5.42578125" style="98" customWidth="1"/>
    <col min="1027" max="1027" width="13.28515625" style="98" customWidth="1"/>
    <col min="1028" max="1028" width="15.85546875" style="98" customWidth="1"/>
    <col min="1029" max="1029" width="16.7109375" style="98" customWidth="1"/>
    <col min="1030" max="1030" width="17.140625" style="98" customWidth="1"/>
    <col min="1031" max="1031" width="1.140625" style="98" customWidth="1"/>
    <col min="1032" max="1032" width="11.42578125" style="98"/>
    <col min="1033" max="1033" width="9" style="98" customWidth="1"/>
    <col min="1034" max="1279" width="11.42578125" style="98"/>
    <col min="1280" max="1280" width="0.5703125" style="98" customWidth="1"/>
    <col min="1281" max="1281" width="23" style="98" customWidth="1"/>
    <col min="1282" max="1282" width="5.42578125" style="98" customWidth="1"/>
    <col min="1283" max="1283" width="13.28515625" style="98" customWidth="1"/>
    <col min="1284" max="1284" width="15.85546875" style="98" customWidth="1"/>
    <col min="1285" max="1285" width="16.7109375" style="98" customWidth="1"/>
    <col min="1286" max="1286" width="17.140625" style="98" customWidth="1"/>
    <col min="1287" max="1287" width="1.140625" style="98" customWidth="1"/>
    <col min="1288" max="1288" width="11.42578125" style="98"/>
    <col min="1289" max="1289" width="9" style="98" customWidth="1"/>
    <col min="1290" max="1535" width="11.42578125" style="98"/>
    <col min="1536" max="1536" width="0.5703125" style="98" customWidth="1"/>
    <col min="1537" max="1537" width="23" style="98" customWidth="1"/>
    <col min="1538" max="1538" width="5.42578125" style="98" customWidth="1"/>
    <col min="1539" max="1539" width="13.28515625" style="98" customWidth="1"/>
    <col min="1540" max="1540" width="15.85546875" style="98" customWidth="1"/>
    <col min="1541" max="1541" width="16.7109375" style="98" customWidth="1"/>
    <col min="1542" max="1542" width="17.140625" style="98" customWidth="1"/>
    <col min="1543" max="1543" width="1.140625" style="98" customWidth="1"/>
    <col min="1544" max="1544" width="11.42578125" style="98"/>
    <col min="1545" max="1545" width="9" style="98" customWidth="1"/>
    <col min="1546" max="1791" width="11.42578125" style="98"/>
    <col min="1792" max="1792" width="0.5703125" style="98" customWidth="1"/>
    <col min="1793" max="1793" width="23" style="98" customWidth="1"/>
    <col min="1794" max="1794" width="5.42578125" style="98" customWidth="1"/>
    <col min="1795" max="1795" width="13.28515625" style="98" customWidth="1"/>
    <col min="1796" max="1796" width="15.85546875" style="98" customWidth="1"/>
    <col min="1797" max="1797" width="16.7109375" style="98" customWidth="1"/>
    <col min="1798" max="1798" width="17.140625" style="98" customWidth="1"/>
    <col min="1799" max="1799" width="1.140625" style="98" customWidth="1"/>
    <col min="1800" max="1800" width="11.42578125" style="98"/>
    <col min="1801" max="1801" width="9" style="98" customWidth="1"/>
    <col min="1802" max="2047" width="11.42578125" style="98"/>
    <col min="2048" max="2048" width="0.5703125" style="98" customWidth="1"/>
    <col min="2049" max="2049" width="23" style="98" customWidth="1"/>
    <col min="2050" max="2050" width="5.42578125" style="98" customWidth="1"/>
    <col min="2051" max="2051" width="13.28515625" style="98" customWidth="1"/>
    <col min="2052" max="2052" width="15.85546875" style="98" customWidth="1"/>
    <col min="2053" max="2053" width="16.7109375" style="98" customWidth="1"/>
    <col min="2054" max="2054" width="17.140625" style="98" customWidth="1"/>
    <col min="2055" max="2055" width="1.140625" style="98" customWidth="1"/>
    <col min="2056" max="2056" width="11.42578125" style="98"/>
    <col min="2057" max="2057" width="9" style="98" customWidth="1"/>
    <col min="2058" max="2303" width="11.42578125" style="98"/>
    <col min="2304" max="2304" width="0.5703125" style="98" customWidth="1"/>
    <col min="2305" max="2305" width="23" style="98" customWidth="1"/>
    <col min="2306" max="2306" width="5.42578125" style="98" customWidth="1"/>
    <col min="2307" max="2307" width="13.28515625" style="98" customWidth="1"/>
    <col min="2308" max="2308" width="15.85546875" style="98" customWidth="1"/>
    <col min="2309" max="2309" width="16.7109375" style="98" customWidth="1"/>
    <col min="2310" max="2310" width="17.140625" style="98" customWidth="1"/>
    <col min="2311" max="2311" width="1.140625" style="98" customWidth="1"/>
    <col min="2312" max="2312" width="11.42578125" style="98"/>
    <col min="2313" max="2313" width="9" style="98" customWidth="1"/>
    <col min="2314" max="2559" width="11.42578125" style="98"/>
    <col min="2560" max="2560" width="0.5703125" style="98" customWidth="1"/>
    <col min="2561" max="2561" width="23" style="98" customWidth="1"/>
    <col min="2562" max="2562" width="5.42578125" style="98" customWidth="1"/>
    <col min="2563" max="2563" width="13.28515625" style="98" customWidth="1"/>
    <col min="2564" max="2564" width="15.85546875" style="98" customWidth="1"/>
    <col min="2565" max="2565" width="16.7109375" style="98" customWidth="1"/>
    <col min="2566" max="2566" width="17.140625" style="98" customWidth="1"/>
    <col min="2567" max="2567" width="1.140625" style="98" customWidth="1"/>
    <col min="2568" max="2568" width="11.42578125" style="98"/>
    <col min="2569" max="2569" width="9" style="98" customWidth="1"/>
    <col min="2570" max="2815" width="11.42578125" style="98"/>
    <col min="2816" max="2816" width="0.5703125" style="98" customWidth="1"/>
    <col min="2817" max="2817" width="23" style="98" customWidth="1"/>
    <col min="2818" max="2818" width="5.42578125" style="98" customWidth="1"/>
    <col min="2819" max="2819" width="13.28515625" style="98" customWidth="1"/>
    <col min="2820" max="2820" width="15.85546875" style="98" customWidth="1"/>
    <col min="2821" max="2821" width="16.7109375" style="98" customWidth="1"/>
    <col min="2822" max="2822" width="17.140625" style="98" customWidth="1"/>
    <col min="2823" max="2823" width="1.140625" style="98" customWidth="1"/>
    <col min="2824" max="2824" width="11.42578125" style="98"/>
    <col min="2825" max="2825" width="9" style="98" customWidth="1"/>
    <col min="2826" max="3071" width="11.42578125" style="98"/>
    <col min="3072" max="3072" width="0.5703125" style="98" customWidth="1"/>
    <col min="3073" max="3073" width="23" style="98" customWidth="1"/>
    <col min="3074" max="3074" width="5.42578125" style="98" customWidth="1"/>
    <col min="3075" max="3075" width="13.28515625" style="98" customWidth="1"/>
    <col min="3076" max="3076" width="15.85546875" style="98" customWidth="1"/>
    <col min="3077" max="3077" width="16.7109375" style="98" customWidth="1"/>
    <col min="3078" max="3078" width="17.140625" style="98" customWidth="1"/>
    <col min="3079" max="3079" width="1.140625" style="98" customWidth="1"/>
    <col min="3080" max="3080" width="11.42578125" style="98"/>
    <col min="3081" max="3081" width="9" style="98" customWidth="1"/>
    <col min="3082" max="3327" width="11.42578125" style="98"/>
    <col min="3328" max="3328" width="0.5703125" style="98" customWidth="1"/>
    <col min="3329" max="3329" width="23" style="98" customWidth="1"/>
    <col min="3330" max="3330" width="5.42578125" style="98" customWidth="1"/>
    <col min="3331" max="3331" width="13.28515625" style="98" customWidth="1"/>
    <col min="3332" max="3332" width="15.85546875" style="98" customWidth="1"/>
    <col min="3333" max="3333" width="16.7109375" style="98" customWidth="1"/>
    <col min="3334" max="3334" width="17.140625" style="98" customWidth="1"/>
    <col min="3335" max="3335" width="1.140625" style="98" customWidth="1"/>
    <col min="3336" max="3336" width="11.42578125" style="98"/>
    <col min="3337" max="3337" width="9" style="98" customWidth="1"/>
    <col min="3338" max="3583" width="11.42578125" style="98"/>
    <col min="3584" max="3584" width="0.5703125" style="98" customWidth="1"/>
    <col min="3585" max="3585" width="23" style="98" customWidth="1"/>
    <col min="3586" max="3586" width="5.42578125" style="98" customWidth="1"/>
    <col min="3587" max="3587" width="13.28515625" style="98" customWidth="1"/>
    <col min="3588" max="3588" width="15.85546875" style="98" customWidth="1"/>
    <col min="3589" max="3589" width="16.7109375" style="98" customWidth="1"/>
    <col min="3590" max="3590" width="17.140625" style="98" customWidth="1"/>
    <col min="3591" max="3591" width="1.140625" style="98" customWidth="1"/>
    <col min="3592" max="3592" width="11.42578125" style="98"/>
    <col min="3593" max="3593" width="9" style="98" customWidth="1"/>
    <col min="3594" max="3839" width="11.42578125" style="98"/>
    <col min="3840" max="3840" width="0.5703125" style="98" customWidth="1"/>
    <col min="3841" max="3841" width="23" style="98" customWidth="1"/>
    <col min="3842" max="3842" width="5.42578125" style="98" customWidth="1"/>
    <col min="3843" max="3843" width="13.28515625" style="98" customWidth="1"/>
    <col min="3844" max="3844" width="15.85546875" style="98" customWidth="1"/>
    <col min="3845" max="3845" width="16.7109375" style="98" customWidth="1"/>
    <col min="3846" max="3846" width="17.140625" style="98" customWidth="1"/>
    <col min="3847" max="3847" width="1.140625" style="98" customWidth="1"/>
    <col min="3848" max="3848" width="11.42578125" style="98"/>
    <col min="3849" max="3849" width="9" style="98" customWidth="1"/>
    <col min="3850" max="4095" width="11.42578125" style="98"/>
    <col min="4096" max="4096" width="0.5703125" style="98" customWidth="1"/>
    <col min="4097" max="4097" width="23" style="98" customWidth="1"/>
    <col min="4098" max="4098" width="5.42578125" style="98" customWidth="1"/>
    <col min="4099" max="4099" width="13.28515625" style="98" customWidth="1"/>
    <col min="4100" max="4100" width="15.85546875" style="98" customWidth="1"/>
    <col min="4101" max="4101" width="16.7109375" style="98" customWidth="1"/>
    <col min="4102" max="4102" width="17.140625" style="98" customWidth="1"/>
    <col min="4103" max="4103" width="1.140625" style="98" customWidth="1"/>
    <col min="4104" max="4104" width="11.42578125" style="98"/>
    <col min="4105" max="4105" width="9" style="98" customWidth="1"/>
    <col min="4106" max="4351" width="11.42578125" style="98"/>
    <col min="4352" max="4352" width="0.5703125" style="98" customWidth="1"/>
    <col min="4353" max="4353" width="23" style="98" customWidth="1"/>
    <col min="4354" max="4354" width="5.42578125" style="98" customWidth="1"/>
    <col min="4355" max="4355" width="13.28515625" style="98" customWidth="1"/>
    <col min="4356" max="4356" width="15.85546875" style="98" customWidth="1"/>
    <col min="4357" max="4357" width="16.7109375" style="98" customWidth="1"/>
    <col min="4358" max="4358" width="17.140625" style="98" customWidth="1"/>
    <col min="4359" max="4359" width="1.140625" style="98" customWidth="1"/>
    <col min="4360" max="4360" width="11.42578125" style="98"/>
    <col min="4361" max="4361" width="9" style="98" customWidth="1"/>
    <col min="4362" max="4607" width="11.42578125" style="98"/>
    <col min="4608" max="4608" width="0.5703125" style="98" customWidth="1"/>
    <col min="4609" max="4609" width="23" style="98" customWidth="1"/>
    <col min="4610" max="4610" width="5.42578125" style="98" customWidth="1"/>
    <col min="4611" max="4611" width="13.28515625" style="98" customWidth="1"/>
    <col min="4612" max="4612" width="15.85546875" style="98" customWidth="1"/>
    <col min="4613" max="4613" width="16.7109375" style="98" customWidth="1"/>
    <col min="4614" max="4614" width="17.140625" style="98" customWidth="1"/>
    <col min="4615" max="4615" width="1.140625" style="98" customWidth="1"/>
    <col min="4616" max="4616" width="11.42578125" style="98"/>
    <col min="4617" max="4617" width="9" style="98" customWidth="1"/>
    <col min="4618" max="4863" width="11.42578125" style="98"/>
    <col min="4864" max="4864" width="0.5703125" style="98" customWidth="1"/>
    <col min="4865" max="4865" width="23" style="98" customWidth="1"/>
    <col min="4866" max="4866" width="5.42578125" style="98" customWidth="1"/>
    <col min="4867" max="4867" width="13.28515625" style="98" customWidth="1"/>
    <col min="4868" max="4868" width="15.85546875" style="98" customWidth="1"/>
    <col min="4869" max="4869" width="16.7109375" style="98" customWidth="1"/>
    <col min="4870" max="4870" width="17.140625" style="98" customWidth="1"/>
    <col min="4871" max="4871" width="1.140625" style="98" customWidth="1"/>
    <col min="4872" max="4872" width="11.42578125" style="98"/>
    <col min="4873" max="4873" width="9" style="98" customWidth="1"/>
    <col min="4874" max="5119" width="11.42578125" style="98"/>
    <col min="5120" max="5120" width="0.5703125" style="98" customWidth="1"/>
    <col min="5121" max="5121" width="23" style="98" customWidth="1"/>
    <col min="5122" max="5122" width="5.42578125" style="98" customWidth="1"/>
    <col min="5123" max="5123" width="13.28515625" style="98" customWidth="1"/>
    <col min="5124" max="5124" width="15.85546875" style="98" customWidth="1"/>
    <col min="5125" max="5125" width="16.7109375" style="98" customWidth="1"/>
    <col min="5126" max="5126" width="17.140625" style="98" customWidth="1"/>
    <col min="5127" max="5127" width="1.140625" style="98" customWidth="1"/>
    <col min="5128" max="5128" width="11.42578125" style="98"/>
    <col min="5129" max="5129" width="9" style="98" customWidth="1"/>
    <col min="5130" max="5375" width="11.42578125" style="98"/>
    <col min="5376" max="5376" width="0.5703125" style="98" customWidth="1"/>
    <col min="5377" max="5377" width="23" style="98" customWidth="1"/>
    <col min="5378" max="5378" width="5.42578125" style="98" customWidth="1"/>
    <col min="5379" max="5379" width="13.28515625" style="98" customWidth="1"/>
    <col min="5380" max="5380" width="15.85546875" style="98" customWidth="1"/>
    <col min="5381" max="5381" width="16.7109375" style="98" customWidth="1"/>
    <col min="5382" max="5382" width="17.140625" style="98" customWidth="1"/>
    <col min="5383" max="5383" width="1.140625" style="98" customWidth="1"/>
    <col min="5384" max="5384" width="11.42578125" style="98"/>
    <col min="5385" max="5385" width="9" style="98" customWidth="1"/>
    <col min="5386" max="5631" width="11.42578125" style="98"/>
    <col min="5632" max="5632" width="0.5703125" style="98" customWidth="1"/>
    <col min="5633" max="5633" width="23" style="98" customWidth="1"/>
    <col min="5634" max="5634" width="5.42578125" style="98" customWidth="1"/>
    <col min="5635" max="5635" width="13.28515625" style="98" customWidth="1"/>
    <col min="5636" max="5636" width="15.85546875" style="98" customWidth="1"/>
    <col min="5637" max="5637" width="16.7109375" style="98" customWidth="1"/>
    <col min="5638" max="5638" width="17.140625" style="98" customWidth="1"/>
    <col min="5639" max="5639" width="1.140625" style="98" customWidth="1"/>
    <col min="5640" max="5640" width="11.42578125" style="98"/>
    <col min="5641" max="5641" width="9" style="98" customWidth="1"/>
    <col min="5642" max="5887" width="11.42578125" style="98"/>
    <col min="5888" max="5888" width="0.5703125" style="98" customWidth="1"/>
    <col min="5889" max="5889" width="23" style="98" customWidth="1"/>
    <col min="5890" max="5890" width="5.42578125" style="98" customWidth="1"/>
    <col min="5891" max="5891" width="13.28515625" style="98" customWidth="1"/>
    <col min="5892" max="5892" width="15.85546875" style="98" customWidth="1"/>
    <col min="5893" max="5893" width="16.7109375" style="98" customWidth="1"/>
    <col min="5894" max="5894" width="17.140625" style="98" customWidth="1"/>
    <col min="5895" max="5895" width="1.140625" style="98" customWidth="1"/>
    <col min="5896" max="5896" width="11.42578125" style="98"/>
    <col min="5897" max="5897" width="9" style="98" customWidth="1"/>
    <col min="5898" max="6143" width="11.42578125" style="98"/>
    <col min="6144" max="6144" width="0.5703125" style="98" customWidth="1"/>
    <col min="6145" max="6145" width="23" style="98" customWidth="1"/>
    <col min="6146" max="6146" width="5.42578125" style="98" customWidth="1"/>
    <col min="6147" max="6147" width="13.28515625" style="98" customWidth="1"/>
    <col min="6148" max="6148" width="15.85546875" style="98" customWidth="1"/>
    <col min="6149" max="6149" width="16.7109375" style="98" customWidth="1"/>
    <col min="6150" max="6150" width="17.140625" style="98" customWidth="1"/>
    <col min="6151" max="6151" width="1.140625" style="98" customWidth="1"/>
    <col min="6152" max="6152" width="11.42578125" style="98"/>
    <col min="6153" max="6153" width="9" style="98" customWidth="1"/>
    <col min="6154" max="6399" width="11.42578125" style="98"/>
    <col min="6400" max="6400" width="0.5703125" style="98" customWidth="1"/>
    <col min="6401" max="6401" width="23" style="98" customWidth="1"/>
    <col min="6402" max="6402" width="5.42578125" style="98" customWidth="1"/>
    <col min="6403" max="6403" width="13.28515625" style="98" customWidth="1"/>
    <col min="6404" max="6404" width="15.85546875" style="98" customWidth="1"/>
    <col min="6405" max="6405" width="16.7109375" style="98" customWidth="1"/>
    <col min="6406" max="6406" width="17.140625" style="98" customWidth="1"/>
    <col min="6407" max="6407" width="1.140625" style="98" customWidth="1"/>
    <col min="6408" max="6408" width="11.42578125" style="98"/>
    <col min="6409" max="6409" width="9" style="98" customWidth="1"/>
    <col min="6410" max="6655" width="11.42578125" style="98"/>
    <col min="6656" max="6656" width="0.5703125" style="98" customWidth="1"/>
    <col min="6657" max="6657" width="23" style="98" customWidth="1"/>
    <col min="6658" max="6658" width="5.42578125" style="98" customWidth="1"/>
    <col min="6659" max="6659" width="13.28515625" style="98" customWidth="1"/>
    <col min="6660" max="6660" width="15.85546875" style="98" customWidth="1"/>
    <col min="6661" max="6661" width="16.7109375" style="98" customWidth="1"/>
    <col min="6662" max="6662" width="17.140625" style="98" customWidth="1"/>
    <col min="6663" max="6663" width="1.140625" style="98" customWidth="1"/>
    <col min="6664" max="6664" width="11.42578125" style="98"/>
    <col min="6665" max="6665" width="9" style="98" customWidth="1"/>
    <col min="6666" max="6911" width="11.42578125" style="98"/>
    <col min="6912" max="6912" width="0.5703125" style="98" customWidth="1"/>
    <col min="6913" max="6913" width="23" style="98" customWidth="1"/>
    <col min="6914" max="6914" width="5.42578125" style="98" customWidth="1"/>
    <col min="6915" max="6915" width="13.28515625" style="98" customWidth="1"/>
    <col min="6916" max="6916" width="15.85546875" style="98" customWidth="1"/>
    <col min="6917" max="6917" width="16.7109375" style="98" customWidth="1"/>
    <col min="6918" max="6918" width="17.140625" style="98" customWidth="1"/>
    <col min="6919" max="6919" width="1.140625" style="98" customWidth="1"/>
    <col min="6920" max="6920" width="11.42578125" style="98"/>
    <col min="6921" max="6921" width="9" style="98" customWidth="1"/>
    <col min="6922" max="7167" width="11.42578125" style="98"/>
    <col min="7168" max="7168" width="0.5703125" style="98" customWidth="1"/>
    <col min="7169" max="7169" width="23" style="98" customWidth="1"/>
    <col min="7170" max="7170" width="5.42578125" style="98" customWidth="1"/>
    <col min="7171" max="7171" width="13.28515625" style="98" customWidth="1"/>
    <col min="7172" max="7172" width="15.85546875" style="98" customWidth="1"/>
    <col min="7173" max="7173" width="16.7109375" style="98" customWidth="1"/>
    <col min="7174" max="7174" width="17.140625" style="98" customWidth="1"/>
    <col min="7175" max="7175" width="1.140625" style="98" customWidth="1"/>
    <col min="7176" max="7176" width="11.42578125" style="98"/>
    <col min="7177" max="7177" width="9" style="98" customWidth="1"/>
    <col min="7178" max="7423" width="11.42578125" style="98"/>
    <col min="7424" max="7424" width="0.5703125" style="98" customWidth="1"/>
    <col min="7425" max="7425" width="23" style="98" customWidth="1"/>
    <col min="7426" max="7426" width="5.42578125" style="98" customWidth="1"/>
    <col min="7427" max="7427" width="13.28515625" style="98" customWidth="1"/>
    <col min="7428" max="7428" width="15.85546875" style="98" customWidth="1"/>
    <col min="7429" max="7429" width="16.7109375" style="98" customWidth="1"/>
    <col min="7430" max="7430" width="17.140625" style="98" customWidth="1"/>
    <col min="7431" max="7431" width="1.140625" style="98" customWidth="1"/>
    <col min="7432" max="7432" width="11.42578125" style="98"/>
    <col min="7433" max="7433" width="9" style="98" customWidth="1"/>
    <col min="7434" max="7679" width="11.42578125" style="98"/>
    <col min="7680" max="7680" width="0.5703125" style="98" customWidth="1"/>
    <col min="7681" max="7681" width="23" style="98" customWidth="1"/>
    <col min="7682" max="7682" width="5.42578125" style="98" customWidth="1"/>
    <col min="7683" max="7683" width="13.28515625" style="98" customWidth="1"/>
    <col min="7684" max="7684" width="15.85546875" style="98" customWidth="1"/>
    <col min="7685" max="7685" width="16.7109375" style="98" customWidth="1"/>
    <col min="7686" max="7686" width="17.140625" style="98" customWidth="1"/>
    <col min="7687" max="7687" width="1.140625" style="98" customWidth="1"/>
    <col min="7688" max="7688" width="11.42578125" style="98"/>
    <col min="7689" max="7689" width="9" style="98" customWidth="1"/>
    <col min="7690" max="7935" width="11.42578125" style="98"/>
    <col min="7936" max="7936" width="0.5703125" style="98" customWidth="1"/>
    <col min="7937" max="7937" width="23" style="98" customWidth="1"/>
    <col min="7938" max="7938" width="5.42578125" style="98" customWidth="1"/>
    <col min="7939" max="7939" width="13.28515625" style="98" customWidth="1"/>
    <col min="7940" max="7940" width="15.85546875" style="98" customWidth="1"/>
    <col min="7941" max="7941" width="16.7109375" style="98" customWidth="1"/>
    <col min="7942" max="7942" width="17.140625" style="98" customWidth="1"/>
    <col min="7943" max="7943" width="1.140625" style="98" customWidth="1"/>
    <col min="7944" max="7944" width="11.42578125" style="98"/>
    <col min="7945" max="7945" width="9" style="98" customWidth="1"/>
    <col min="7946" max="8191" width="11.42578125" style="98"/>
    <col min="8192" max="8192" width="0.5703125" style="98" customWidth="1"/>
    <col min="8193" max="8193" width="23" style="98" customWidth="1"/>
    <col min="8194" max="8194" width="5.42578125" style="98" customWidth="1"/>
    <col min="8195" max="8195" width="13.28515625" style="98" customWidth="1"/>
    <col min="8196" max="8196" width="15.85546875" style="98" customWidth="1"/>
    <col min="8197" max="8197" width="16.7109375" style="98" customWidth="1"/>
    <col min="8198" max="8198" width="17.140625" style="98" customWidth="1"/>
    <col min="8199" max="8199" width="1.140625" style="98" customWidth="1"/>
    <col min="8200" max="8200" width="11.42578125" style="98"/>
    <col min="8201" max="8201" width="9" style="98" customWidth="1"/>
    <col min="8202" max="8447" width="11.42578125" style="98"/>
    <col min="8448" max="8448" width="0.5703125" style="98" customWidth="1"/>
    <col min="8449" max="8449" width="23" style="98" customWidth="1"/>
    <col min="8450" max="8450" width="5.42578125" style="98" customWidth="1"/>
    <col min="8451" max="8451" width="13.28515625" style="98" customWidth="1"/>
    <col min="8452" max="8452" width="15.85546875" style="98" customWidth="1"/>
    <col min="8453" max="8453" width="16.7109375" style="98" customWidth="1"/>
    <col min="8454" max="8454" width="17.140625" style="98" customWidth="1"/>
    <col min="8455" max="8455" width="1.140625" style="98" customWidth="1"/>
    <col min="8456" max="8456" width="11.42578125" style="98"/>
    <col min="8457" max="8457" width="9" style="98" customWidth="1"/>
    <col min="8458" max="8703" width="11.42578125" style="98"/>
    <col min="8704" max="8704" width="0.5703125" style="98" customWidth="1"/>
    <col min="8705" max="8705" width="23" style="98" customWidth="1"/>
    <col min="8706" max="8706" width="5.42578125" style="98" customWidth="1"/>
    <col min="8707" max="8707" width="13.28515625" style="98" customWidth="1"/>
    <col min="8708" max="8708" width="15.85546875" style="98" customWidth="1"/>
    <col min="8709" max="8709" width="16.7109375" style="98" customWidth="1"/>
    <col min="8710" max="8710" width="17.140625" style="98" customWidth="1"/>
    <col min="8711" max="8711" width="1.140625" style="98" customWidth="1"/>
    <col min="8712" max="8712" width="11.42578125" style="98"/>
    <col min="8713" max="8713" width="9" style="98" customWidth="1"/>
    <col min="8714" max="8959" width="11.42578125" style="98"/>
    <col min="8960" max="8960" width="0.5703125" style="98" customWidth="1"/>
    <col min="8961" max="8961" width="23" style="98" customWidth="1"/>
    <col min="8962" max="8962" width="5.42578125" style="98" customWidth="1"/>
    <col min="8963" max="8963" width="13.28515625" style="98" customWidth="1"/>
    <col min="8964" max="8964" width="15.85546875" style="98" customWidth="1"/>
    <col min="8965" max="8965" width="16.7109375" style="98" customWidth="1"/>
    <col min="8966" max="8966" width="17.140625" style="98" customWidth="1"/>
    <col min="8967" max="8967" width="1.140625" style="98" customWidth="1"/>
    <col min="8968" max="8968" width="11.42578125" style="98"/>
    <col min="8969" max="8969" width="9" style="98" customWidth="1"/>
    <col min="8970" max="9215" width="11.42578125" style="98"/>
    <col min="9216" max="9216" width="0.5703125" style="98" customWidth="1"/>
    <col min="9217" max="9217" width="23" style="98" customWidth="1"/>
    <col min="9218" max="9218" width="5.42578125" style="98" customWidth="1"/>
    <col min="9219" max="9219" width="13.28515625" style="98" customWidth="1"/>
    <col min="9220" max="9220" width="15.85546875" style="98" customWidth="1"/>
    <col min="9221" max="9221" width="16.7109375" style="98" customWidth="1"/>
    <col min="9222" max="9222" width="17.140625" style="98" customWidth="1"/>
    <col min="9223" max="9223" width="1.140625" style="98" customWidth="1"/>
    <col min="9224" max="9224" width="11.42578125" style="98"/>
    <col min="9225" max="9225" width="9" style="98" customWidth="1"/>
    <col min="9226" max="9471" width="11.42578125" style="98"/>
    <col min="9472" max="9472" width="0.5703125" style="98" customWidth="1"/>
    <col min="9473" max="9473" width="23" style="98" customWidth="1"/>
    <col min="9474" max="9474" width="5.42578125" style="98" customWidth="1"/>
    <col min="9475" max="9475" width="13.28515625" style="98" customWidth="1"/>
    <col min="9476" max="9476" width="15.85546875" style="98" customWidth="1"/>
    <col min="9477" max="9477" width="16.7109375" style="98" customWidth="1"/>
    <col min="9478" max="9478" width="17.140625" style="98" customWidth="1"/>
    <col min="9479" max="9479" width="1.140625" style="98" customWidth="1"/>
    <col min="9480" max="9480" width="11.42578125" style="98"/>
    <col min="9481" max="9481" width="9" style="98" customWidth="1"/>
    <col min="9482" max="9727" width="11.42578125" style="98"/>
    <col min="9728" max="9728" width="0.5703125" style="98" customWidth="1"/>
    <col min="9729" max="9729" width="23" style="98" customWidth="1"/>
    <col min="9730" max="9730" width="5.42578125" style="98" customWidth="1"/>
    <col min="9731" max="9731" width="13.28515625" style="98" customWidth="1"/>
    <col min="9732" max="9732" width="15.85546875" style="98" customWidth="1"/>
    <col min="9733" max="9733" width="16.7109375" style="98" customWidth="1"/>
    <col min="9734" max="9734" width="17.140625" style="98" customWidth="1"/>
    <col min="9735" max="9735" width="1.140625" style="98" customWidth="1"/>
    <col min="9736" max="9736" width="11.42578125" style="98"/>
    <col min="9737" max="9737" width="9" style="98" customWidth="1"/>
    <col min="9738" max="9983" width="11.42578125" style="98"/>
    <col min="9984" max="9984" width="0.5703125" style="98" customWidth="1"/>
    <col min="9985" max="9985" width="23" style="98" customWidth="1"/>
    <col min="9986" max="9986" width="5.42578125" style="98" customWidth="1"/>
    <col min="9987" max="9987" width="13.28515625" style="98" customWidth="1"/>
    <col min="9988" max="9988" width="15.85546875" style="98" customWidth="1"/>
    <col min="9989" max="9989" width="16.7109375" style="98" customWidth="1"/>
    <col min="9990" max="9990" width="17.140625" style="98" customWidth="1"/>
    <col min="9991" max="9991" width="1.140625" style="98" customWidth="1"/>
    <col min="9992" max="9992" width="11.42578125" style="98"/>
    <col min="9993" max="9993" width="9" style="98" customWidth="1"/>
    <col min="9994" max="10239" width="11.42578125" style="98"/>
    <col min="10240" max="10240" width="0.5703125" style="98" customWidth="1"/>
    <col min="10241" max="10241" width="23" style="98" customWidth="1"/>
    <col min="10242" max="10242" width="5.42578125" style="98" customWidth="1"/>
    <col min="10243" max="10243" width="13.28515625" style="98" customWidth="1"/>
    <col min="10244" max="10244" width="15.85546875" style="98" customWidth="1"/>
    <col min="10245" max="10245" width="16.7109375" style="98" customWidth="1"/>
    <col min="10246" max="10246" width="17.140625" style="98" customWidth="1"/>
    <col min="10247" max="10247" width="1.140625" style="98" customWidth="1"/>
    <col min="10248" max="10248" width="11.42578125" style="98"/>
    <col min="10249" max="10249" width="9" style="98" customWidth="1"/>
    <col min="10250" max="10495" width="11.42578125" style="98"/>
    <col min="10496" max="10496" width="0.5703125" style="98" customWidth="1"/>
    <col min="10497" max="10497" width="23" style="98" customWidth="1"/>
    <col min="10498" max="10498" width="5.42578125" style="98" customWidth="1"/>
    <col min="10499" max="10499" width="13.28515625" style="98" customWidth="1"/>
    <col min="10500" max="10500" width="15.85546875" style="98" customWidth="1"/>
    <col min="10501" max="10501" width="16.7109375" style="98" customWidth="1"/>
    <col min="10502" max="10502" width="17.140625" style="98" customWidth="1"/>
    <col min="10503" max="10503" width="1.140625" style="98" customWidth="1"/>
    <col min="10504" max="10504" width="11.42578125" style="98"/>
    <col min="10505" max="10505" width="9" style="98" customWidth="1"/>
    <col min="10506" max="10751" width="11.42578125" style="98"/>
    <col min="10752" max="10752" width="0.5703125" style="98" customWidth="1"/>
    <col min="10753" max="10753" width="23" style="98" customWidth="1"/>
    <col min="10754" max="10754" width="5.42578125" style="98" customWidth="1"/>
    <col min="10755" max="10755" width="13.28515625" style="98" customWidth="1"/>
    <col min="10756" max="10756" width="15.85546875" style="98" customWidth="1"/>
    <col min="10757" max="10757" width="16.7109375" style="98" customWidth="1"/>
    <col min="10758" max="10758" width="17.140625" style="98" customWidth="1"/>
    <col min="10759" max="10759" width="1.140625" style="98" customWidth="1"/>
    <col min="10760" max="10760" width="11.42578125" style="98"/>
    <col min="10761" max="10761" width="9" style="98" customWidth="1"/>
    <col min="10762" max="11007" width="11.42578125" style="98"/>
    <col min="11008" max="11008" width="0.5703125" style="98" customWidth="1"/>
    <col min="11009" max="11009" width="23" style="98" customWidth="1"/>
    <col min="11010" max="11010" width="5.42578125" style="98" customWidth="1"/>
    <col min="11011" max="11011" width="13.28515625" style="98" customWidth="1"/>
    <col min="11012" max="11012" width="15.85546875" style="98" customWidth="1"/>
    <col min="11013" max="11013" width="16.7109375" style="98" customWidth="1"/>
    <col min="11014" max="11014" width="17.140625" style="98" customWidth="1"/>
    <col min="11015" max="11015" width="1.140625" style="98" customWidth="1"/>
    <col min="11016" max="11016" width="11.42578125" style="98"/>
    <col min="11017" max="11017" width="9" style="98" customWidth="1"/>
    <col min="11018" max="11263" width="11.42578125" style="98"/>
    <col min="11264" max="11264" width="0.5703125" style="98" customWidth="1"/>
    <col min="11265" max="11265" width="23" style="98" customWidth="1"/>
    <col min="11266" max="11266" width="5.42578125" style="98" customWidth="1"/>
    <col min="11267" max="11267" width="13.28515625" style="98" customWidth="1"/>
    <col min="11268" max="11268" width="15.85546875" style="98" customWidth="1"/>
    <col min="11269" max="11269" width="16.7109375" style="98" customWidth="1"/>
    <col min="11270" max="11270" width="17.140625" style="98" customWidth="1"/>
    <col min="11271" max="11271" width="1.140625" style="98" customWidth="1"/>
    <col min="11272" max="11272" width="11.42578125" style="98"/>
    <col min="11273" max="11273" width="9" style="98" customWidth="1"/>
    <col min="11274" max="11519" width="11.42578125" style="98"/>
    <col min="11520" max="11520" width="0.5703125" style="98" customWidth="1"/>
    <col min="11521" max="11521" width="23" style="98" customWidth="1"/>
    <col min="11522" max="11522" width="5.42578125" style="98" customWidth="1"/>
    <col min="11523" max="11523" width="13.28515625" style="98" customWidth="1"/>
    <col min="11524" max="11524" width="15.85546875" style="98" customWidth="1"/>
    <col min="11525" max="11525" width="16.7109375" style="98" customWidth="1"/>
    <col min="11526" max="11526" width="17.140625" style="98" customWidth="1"/>
    <col min="11527" max="11527" width="1.140625" style="98" customWidth="1"/>
    <col min="11528" max="11528" width="11.42578125" style="98"/>
    <col min="11529" max="11529" width="9" style="98" customWidth="1"/>
    <col min="11530" max="11775" width="11.42578125" style="98"/>
    <col min="11776" max="11776" width="0.5703125" style="98" customWidth="1"/>
    <col min="11777" max="11777" width="23" style="98" customWidth="1"/>
    <col min="11778" max="11778" width="5.42578125" style="98" customWidth="1"/>
    <col min="11779" max="11779" width="13.28515625" style="98" customWidth="1"/>
    <col min="11780" max="11780" width="15.85546875" style="98" customWidth="1"/>
    <col min="11781" max="11781" width="16.7109375" style="98" customWidth="1"/>
    <col min="11782" max="11782" width="17.140625" style="98" customWidth="1"/>
    <col min="11783" max="11783" width="1.140625" style="98" customWidth="1"/>
    <col min="11784" max="11784" width="11.42578125" style="98"/>
    <col min="11785" max="11785" width="9" style="98" customWidth="1"/>
    <col min="11786" max="12031" width="11.42578125" style="98"/>
    <col min="12032" max="12032" width="0.5703125" style="98" customWidth="1"/>
    <col min="12033" max="12033" width="23" style="98" customWidth="1"/>
    <col min="12034" max="12034" width="5.42578125" style="98" customWidth="1"/>
    <col min="12035" max="12035" width="13.28515625" style="98" customWidth="1"/>
    <col min="12036" max="12036" width="15.85546875" style="98" customWidth="1"/>
    <col min="12037" max="12037" width="16.7109375" style="98" customWidth="1"/>
    <col min="12038" max="12038" width="17.140625" style="98" customWidth="1"/>
    <col min="12039" max="12039" width="1.140625" style="98" customWidth="1"/>
    <col min="12040" max="12040" width="11.42578125" style="98"/>
    <col min="12041" max="12041" width="9" style="98" customWidth="1"/>
    <col min="12042" max="12287" width="11.42578125" style="98"/>
    <col min="12288" max="12288" width="0.5703125" style="98" customWidth="1"/>
    <col min="12289" max="12289" width="23" style="98" customWidth="1"/>
    <col min="12290" max="12290" width="5.42578125" style="98" customWidth="1"/>
    <col min="12291" max="12291" width="13.28515625" style="98" customWidth="1"/>
    <col min="12292" max="12292" width="15.85546875" style="98" customWidth="1"/>
    <col min="12293" max="12293" width="16.7109375" style="98" customWidth="1"/>
    <col min="12294" max="12294" width="17.140625" style="98" customWidth="1"/>
    <col min="12295" max="12295" width="1.140625" style="98" customWidth="1"/>
    <col min="12296" max="12296" width="11.42578125" style="98"/>
    <col min="12297" max="12297" width="9" style="98" customWidth="1"/>
    <col min="12298" max="12543" width="11.42578125" style="98"/>
    <col min="12544" max="12544" width="0.5703125" style="98" customWidth="1"/>
    <col min="12545" max="12545" width="23" style="98" customWidth="1"/>
    <col min="12546" max="12546" width="5.42578125" style="98" customWidth="1"/>
    <col min="12547" max="12547" width="13.28515625" style="98" customWidth="1"/>
    <col min="12548" max="12548" width="15.85546875" style="98" customWidth="1"/>
    <col min="12549" max="12549" width="16.7109375" style="98" customWidth="1"/>
    <col min="12550" max="12550" width="17.140625" style="98" customWidth="1"/>
    <col min="12551" max="12551" width="1.140625" style="98" customWidth="1"/>
    <col min="12552" max="12552" width="11.42578125" style="98"/>
    <col min="12553" max="12553" width="9" style="98" customWidth="1"/>
    <col min="12554" max="12799" width="11.42578125" style="98"/>
    <col min="12800" max="12800" width="0.5703125" style="98" customWidth="1"/>
    <col min="12801" max="12801" width="23" style="98" customWidth="1"/>
    <col min="12802" max="12802" width="5.42578125" style="98" customWidth="1"/>
    <col min="12803" max="12803" width="13.28515625" style="98" customWidth="1"/>
    <col min="12804" max="12804" width="15.85546875" style="98" customWidth="1"/>
    <col min="12805" max="12805" width="16.7109375" style="98" customWidth="1"/>
    <col min="12806" max="12806" width="17.140625" style="98" customWidth="1"/>
    <col min="12807" max="12807" width="1.140625" style="98" customWidth="1"/>
    <col min="12808" max="12808" width="11.42578125" style="98"/>
    <col min="12809" max="12809" width="9" style="98" customWidth="1"/>
    <col min="12810" max="13055" width="11.42578125" style="98"/>
    <col min="13056" max="13056" width="0.5703125" style="98" customWidth="1"/>
    <col min="13057" max="13057" width="23" style="98" customWidth="1"/>
    <col min="13058" max="13058" width="5.42578125" style="98" customWidth="1"/>
    <col min="13059" max="13059" width="13.28515625" style="98" customWidth="1"/>
    <col min="13060" max="13060" width="15.85546875" style="98" customWidth="1"/>
    <col min="13061" max="13061" width="16.7109375" style="98" customWidth="1"/>
    <col min="13062" max="13062" width="17.140625" style="98" customWidth="1"/>
    <col min="13063" max="13063" width="1.140625" style="98" customWidth="1"/>
    <col min="13064" max="13064" width="11.42578125" style="98"/>
    <col min="13065" max="13065" width="9" style="98" customWidth="1"/>
    <col min="13066" max="13311" width="11.42578125" style="98"/>
    <col min="13312" max="13312" width="0.5703125" style="98" customWidth="1"/>
    <col min="13313" max="13313" width="23" style="98" customWidth="1"/>
    <col min="13314" max="13314" width="5.42578125" style="98" customWidth="1"/>
    <col min="13315" max="13315" width="13.28515625" style="98" customWidth="1"/>
    <col min="13316" max="13316" width="15.85546875" style="98" customWidth="1"/>
    <col min="13317" max="13317" width="16.7109375" style="98" customWidth="1"/>
    <col min="13318" max="13318" width="17.140625" style="98" customWidth="1"/>
    <col min="13319" max="13319" width="1.140625" style="98" customWidth="1"/>
    <col min="13320" max="13320" width="11.42578125" style="98"/>
    <col min="13321" max="13321" width="9" style="98" customWidth="1"/>
    <col min="13322" max="13567" width="11.42578125" style="98"/>
    <col min="13568" max="13568" width="0.5703125" style="98" customWidth="1"/>
    <col min="13569" max="13569" width="23" style="98" customWidth="1"/>
    <col min="13570" max="13570" width="5.42578125" style="98" customWidth="1"/>
    <col min="13571" max="13571" width="13.28515625" style="98" customWidth="1"/>
    <col min="13572" max="13572" width="15.85546875" style="98" customWidth="1"/>
    <col min="13573" max="13573" width="16.7109375" style="98" customWidth="1"/>
    <col min="13574" max="13574" width="17.140625" style="98" customWidth="1"/>
    <col min="13575" max="13575" width="1.140625" style="98" customWidth="1"/>
    <col min="13576" max="13576" width="11.42578125" style="98"/>
    <col min="13577" max="13577" width="9" style="98" customWidth="1"/>
    <col min="13578" max="13823" width="11.42578125" style="98"/>
    <col min="13824" max="13824" width="0.5703125" style="98" customWidth="1"/>
    <col min="13825" max="13825" width="23" style="98" customWidth="1"/>
    <col min="13826" max="13826" width="5.42578125" style="98" customWidth="1"/>
    <col min="13827" max="13827" width="13.28515625" style="98" customWidth="1"/>
    <col min="13828" max="13828" width="15.85546875" style="98" customWidth="1"/>
    <col min="13829" max="13829" width="16.7109375" style="98" customWidth="1"/>
    <col min="13830" max="13830" width="17.140625" style="98" customWidth="1"/>
    <col min="13831" max="13831" width="1.140625" style="98" customWidth="1"/>
    <col min="13832" max="13832" width="11.42578125" style="98"/>
    <col min="13833" max="13833" width="9" style="98" customWidth="1"/>
    <col min="13834" max="14079" width="11.42578125" style="98"/>
    <col min="14080" max="14080" width="0.5703125" style="98" customWidth="1"/>
    <col min="14081" max="14081" width="23" style="98" customWidth="1"/>
    <col min="14082" max="14082" width="5.42578125" style="98" customWidth="1"/>
    <col min="14083" max="14083" width="13.28515625" style="98" customWidth="1"/>
    <col min="14084" max="14084" width="15.85546875" style="98" customWidth="1"/>
    <col min="14085" max="14085" width="16.7109375" style="98" customWidth="1"/>
    <col min="14086" max="14086" width="17.140625" style="98" customWidth="1"/>
    <col min="14087" max="14087" width="1.140625" style="98" customWidth="1"/>
    <col min="14088" max="14088" width="11.42578125" style="98"/>
    <col min="14089" max="14089" width="9" style="98" customWidth="1"/>
    <col min="14090" max="14335" width="11.42578125" style="98"/>
    <col min="14336" max="14336" width="0.5703125" style="98" customWidth="1"/>
    <col min="14337" max="14337" width="23" style="98" customWidth="1"/>
    <col min="14338" max="14338" width="5.42578125" style="98" customWidth="1"/>
    <col min="14339" max="14339" width="13.28515625" style="98" customWidth="1"/>
    <col min="14340" max="14340" width="15.85546875" style="98" customWidth="1"/>
    <col min="14341" max="14341" width="16.7109375" style="98" customWidth="1"/>
    <col min="14342" max="14342" width="17.140625" style="98" customWidth="1"/>
    <col min="14343" max="14343" width="1.140625" style="98" customWidth="1"/>
    <col min="14344" max="14344" width="11.42578125" style="98"/>
    <col min="14345" max="14345" width="9" style="98" customWidth="1"/>
    <col min="14346" max="14591" width="11.42578125" style="98"/>
    <col min="14592" max="14592" width="0.5703125" style="98" customWidth="1"/>
    <col min="14593" max="14593" width="23" style="98" customWidth="1"/>
    <col min="14594" max="14594" width="5.42578125" style="98" customWidth="1"/>
    <col min="14595" max="14595" width="13.28515625" style="98" customWidth="1"/>
    <col min="14596" max="14596" width="15.85546875" style="98" customWidth="1"/>
    <col min="14597" max="14597" width="16.7109375" style="98" customWidth="1"/>
    <col min="14598" max="14598" width="17.140625" style="98" customWidth="1"/>
    <col min="14599" max="14599" width="1.140625" style="98" customWidth="1"/>
    <col min="14600" max="14600" width="11.42578125" style="98"/>
    <col min="14601" max="14601" width="9" style="98" customWidth="1"/>
    <col min="14602" max="14847" width="11.42578125" style="98"/>
    <col min="14848" max="14848" width="0.5703125" style="98" customWidth="1"/>
    <col min="14849" max="14849" width="23" style="98" customWidth="1"/>
    <col min="14850" max="14850" width="5.42578125" style="98" customWidth="1"/>
    <col min="14851" max="14851" width="13.28515625" style="98" customWidth="1"/>
    <col min="14852" max="14852" width="15.85546875" style="98" customWidth="1"/>
    <col min="14853" max="14853" width="16.7109375" style="98" customWidth="1"/>
    <col min="14854" max="14854" width="17.140625" style="98" customWidth="1"/>
    <col min="14855" max="14855" width="1.140625" style="98" customWidth="1"/>
    <col min="14856" max="14856" width="11.42578125" style="98"/>
    <col min="14857" max="14857" width="9" style="98" customWidth="1"/>
    <col min="14858" max="15103" width="11.42578125" style="98"/>
    <col min="15104" max="15104" width="0.5703125" style="98" customWidth="1"/>
    <col min="15105" max="15105" width="23" style="98" customWidth="1"/>
    <col min="15106" max="15106" width="5.42578125" style="98" customWidth="1"/>
    <col min="15107" max="15107" width="13.28515625" style="98" customWidth="1"/>
    <col min="15108" max="15108" width="15.85546875" style="98" customWidth="1"/>
    <col min="15109" max="15109" width="16.7109375" style="98" customWidth="1"/>
    <col min="15110" max="15110" width="17.140625" style="98" customWidth="1"/>
    <col min="15111" max="15111" width="1.140625" style="98" customWidth="1"/>
    <col min="15112" max="15112" width="11.42578125" style="98"/>
    <col min="15113" max="15113" width="9" style="98" customWidth="1"/>
    <col min="15114" max="15359" width="11.42578125" style="98"/>
    <col min="15360" max="15360" width="0.5703125" style="98" customWidth="1"/>
    <col min="15361" max="15361" width="23" style="98" customWidth="1"/>
    <col min="15362" max="15362" width="5.42578125" style="98" customWidth="1"/>
    <col min="15363" max="15363" width="13.28515625" style="98" customWidth="1"/>
    <col min="15364" max="15364" width="15.85546875" style="98" customWidth="1"/>
    <col min="15365" max="15365" width="16.7109375" style="98" customWidth="1"/>
    <col min="15366" max="15366" width="17.140625" style="98" customWidth="1"/>
    <col min="15367" max="15367" width="1.140625" style="98" customWidth="1"/>
    <col min="15368" max="15368" width="11.42578125" style="98"/>
    <col min="15369" max="15369" width="9" style="98" customWidth="1"/>
    <col min="15370" max="15615" width="11.42578125" style="98"/>
    <col min="15616" max="15616" width="0.5703125" style="98" customWidth="1"/>
    <col min="15617" max="15617" width="23" style="98" customWidth="1"/>
    <col min="15618" max="15618" width="5.42578125" style="98" customWidth="1"/>
    <col min="15619" max="15619" width="13.28515625" style="98" customWidth="1"/>
    <col min="15620" max="15620" width="15.85546875" style="98" customWidth="1"/>
    <col min="15621" max="15621" width="16.7109375" style="98" customWidth="1"/>
    <col min="15622" max="15622" width="17.140625" style="98" customWidth="1"/>
    <col min="15623" max="15623" width="1.140625" style="98" customWidth="1"/>
    <col min="15624" max="15624" width="11.42578125" style="98"/>
    <col min="15625" max="15625" width="9" style="98" customWidth="1"/>
    <col min="15626" max="15871" width="11.42578125" style="98"/>
    <col min="15872" max="15872" width="0.5703125" style="98" customWidth="1"/>
    <col min="15873" max="15873" width="23" style="98" customWidth="1"/>
    <col min="15874" max="15874" width="5.42578125" style="98" customWidth="1"/>
    <col min="15875" max="15875" width="13.28515625" style="98" customWidth="1"/>
    <col min="15876" max="15876" width="15.85546875" style="98" customWidth="1"/>
    <col min="15877" max="15877" width="16.7109375" style="98" customWidth="1"/>
    <col min="15878" max="15878" width="17.140625" style="98" customWidth="1"/>
    <col min="15879" max="15879" width="1.140625" style="98" customWidth="1"/>
    <col min="15880" max="15880" width="11.42578125" style="98"/>
    <col min="15881" max="15881" width="9" style="98" customWidth="1"/>
    <col min="15882" max="16127" width="11.42578125" style="98"/>
    <col min="16128" max="16128" width="0.5703125" style="98" customWidth="1"/>
    <col min="16129" max="16129" width="23" style="98" customWidth="1"/>
    <col min="16130" max="16130" width="5.42578125" style="98" customWidth="1"/>
    <col min="16131" max="16131" width="13.28515625" style="98" customWidth="1"/>
    <col min="16132" max="16132" width="15.85546875" style="98" customWidth="1"/>
    <col min="16133" max="16133" width="16.7109375" style="98" customWidth="1"/>
    <col min="16134" max="16134" width="17.140625" style="98" customWidth="1"/>
    <col min="16135" max="16135" width="1.140625" style="98" customWidth="1"/>
    <col min="16136" max="16136" width="11.42578125" style="98"/>
    <col min="16137" max="16137" width="9" style="98" customWidth="1"/>
    <col min="16138" max="16384" width="11.42578125" style="98"/>
  </cols>
  <sheetData>
    <row r="1" spans="1:7" ht="24.95" customHeight="1" thickTop="1" thickBot="1" x14ac:dyDescent="0.25">
      <c r="A1" s="692" t="s">
        <v>623</v>
      </c>
      <c r="B1" s="1378">
        <f>'(C.H.M) MAIN D''OEUVRE'!C2</f>
        <v>1</v>
      </c>
      <c r="C1" s="1378"/>
      <c r="D1" s="1378"/>
      <c r="E1" s="1379"/>
      <c r="F1" s="212" t="s">
        <v>329</v>
      </c>
      <c r="G1" s="213">
        <f ca="1">TODAY()</f>
        <v>46093</v>
      </c>
    </row>
    <row r="2" spans="1:7" ht="17.25" thickTop="1" thickBot="1" x14ac:dyDescent="0.3">
      <c r="A2" s="206"/>
      <c r="B2" s="208"/>
      <c r="C2" s="208"/>
      <c r="D2" s="208"/>
      <c r="E2" s="208"/>
      <c r="F2" s="208"/>
      <c r="G2" s="211"/>
    </row>
    <row r="3" spans="1:7" ht="28.5" customHeight="1" thickTop="1" thickBot="1" x14ac:dyDescent="0.25">
      <c r="A3" s="1373" t="s">
        <v>611</v>
      </c>
      <c r="B3" s="1375"/>
      <c r="C3" s="1375"/>
      <c r="D3" s="1375"/>
      <c r="E3" s="1375"/>
      <c r="F3" s="1375"/>
      <c r="G3" s="1374"/>
    </row>
    <row r="4" spans="1:7" ht="17.25" thickTop="1" thickBot="1" x14ac:dyDescent="0.3">
      <c r="A4" s="227" t="s">
        <v>612</v>
      </c>
      <c r="B4" s="8" t="s">
        <v>3</v>
      </c>
      <c r="C4" s="8" t="s">
        <v>622</v>
      </c>
      <c r="D4" s="8" t="s">
        <v>334</v>
      </c>
      <c r="E4" s="8" t="s">
        <v>613</v>
      </c>
      <c r="F4" s="8" t="s">
        <v>614</v>
      </c>
      <c r="G4" s="228" t="s">
        <v>615</v>
      </c>
    </row>
    <row r="5" spans="1:7" ht="24.6" customHeight="1" thickTop="1" x14ac:dyDescent="0.25">
      <c r="A5" s="224" t="s">
        <v>563</v>
      </c>
      <c r="B5" s="225" t="s">
        <v>13</v>
      </c>
      <c r="C5" s="223">
        <v>0.06</v>
      </c>
      <c r="D5" s="226">
        <f>1+C5</f>
        <v>1.06</v>
      </c>
      <c r="E5" s="217">
        <v>792</v>
      </c>
      <c r="F5" s="234">
        <f>ROUND(D5*E5,2)</f>
        <v>839.52</v>
      </c>
      <c r="G5" s="230"/>
    </row>
    <row r="6" spans="1:7" ht="24.6" customHeight="1" x14ac:dyDescent="0.25">
      <c r="A6" s="214" t="s">
        <v>616</v>
      </c>
      <c r="B6" s="205" t="s">
        <v>13</v>
      </c>
      <c r="C6" s="223"/>
      <c r="D6" s="222">
        <v>1.4999999999999999E-2</v>
      </c>
      <c r="E6" s="210">
        <v>1395</v>
      </c>
      <c r="F6" s="236">
        <f>ROUND(D6*E6,2)</f>
        <v>20.93</v>
      </c>
      <c r="G6" s="230"/>
    </row>
    <row r="7" spans="1:7" ht="16.5" thickBot="1" x14ac:dyDescent="0.3">
      <c r="A7" s="215"/>
      <c r="B7" s="216"/>
      <c r="C7" s="216"/>
      <c r="D7" s="216"/>
      <c r="E7" s="216"/>
      <c r="F7" s="232"/>
      <c r="G7" s="231"/>
    </row>
    <row r="8" spans="1:7" ht="25.5" customHeight="1" thickTop="1" thickBot="1" x14ac:dyDescent="0.25">
      <c r="A8" s="1380"/>
      <c r="B8" s="1380"/>
      <c r="C8" s="1380"/>
      <c r="D8" s="1381"/>
      <c r="E8" s="1376" t="s">
        <v>617</v>
      </c>
      <c r="F8" s="1377"/>
      <c r="G8" s="246">
        <f>SUM(F5:F6)</f>
        <v>860.44999999999993</v>
      </c>
    </row>
    <row r="9" spans="1:7" ht="24.6" customHeight="1" thickTop="1" x14ac:dyDescent="0.25">
      <c r="A9" s="224" t="s">
        <v>193</v>
      </c>
      <c r="B9" s="225" t="s">
        <v>86</v>
      </c>
      <c r="C9" s="225"/>
      <c r="D9" s="217">
        <v>60</v>
      </c>
      <c r="E9" s="220">
        <v>16.5</v>
      </c>
      <c r="F9" s="234">
        <f>ROUND(D9*E9,2)</f>
        <v>990</v>
      </c>
      <c r="G9" s="233"/>
    </row>
    <row r="10" spans="1:7" ht="24.6" customHeight="1" thickBot="1" x14ac:dyDescent="0.3">
      <c r="A10" s="215" t="s">
        <v>618</v>
      </c>
      <c r="B10" s="216" t="s">
        <v>3</v>
      </c>
      <c r="C10" s="216"/>
      <c r="D10" s="221">
        <v>1</v>
      </c>
      <c r="E10" s="221">
        <v>13</v>
      </c>
      <c r="F10" s="235">
        <f>ROUND(D10*E10,2)</f>
        <v>13</v>
      </c>
      <c r="G10" s="231"/>
    </row>
    <row r="11" spans="1:7" ht="24" customHeight="1" thickTop="1" thickBot="1" x14ac:dyDescent="0.3">
      <c r="A11" s="204"/>
      <c r="B11" s="204"/>
      <c r="C11" s="204"/>
      <c r="D11" s="204"/>
      <c r="E11" s="1382" t="s">
        <v>619</v>
      </c>
      <c r="F11" s="1379"/>
      <c r="G11" s="247">
        <f>SUM(F9:F10)</f>
        <v>1003</v>
      </c>
    </row>
    <row r="12" spans="1:7" ht="24" customHeight="1" thickTop="1" thickBot="1" x14ac:dyDescent="0.3">
      <c r="A12" s="204"/>
      <c r="B12" s="204"/>
      <c r="C12" s="204"/>
      <c r="D12" s="204"/>
      <c r="E12" s="1373" t="s">
        <v>620</v>
      </c>
      <c r="F12" s="1374"/>
      <c r="G12" s="247">
        <f>G8+G11</f>
        <v>1863.4499999999998</v>
      </c>
    </row>
    <row r="13" spans="1:7" ht="24" customHeight="1" thickTop="1" thickBot="1" x14ac:dyDescent="0.3">
      <c r="A13" s="204"/>
      <c r="B13" s="204"/>
      <c r="C13" s="204"/>
      <c r="D13" s="204"/>
      <c r="E13" s="1373" t="s">
        <v>621</v>
      </c>
      <c r="F13" s="1374"/>
      <c r="G13" s="247">
        <f>ROUND(G12/1000,2)</f>
        <v>1.86</v>
      </c>
    </row>
    <row r="14" spans="1:7" ht="16.5" thickTop="1" x14ac:dyDescent="0.25">
      <c r="A14" s="206"/>
      <c r="B14" s="208"/>
      <c r="C14" s="208"/>
      <c r="D14" s="208"/>
      <c r="E14" s="208"/>
      <c r="F14" s="208"/>
      <c r="G14" s="211"/>
    </row>
    <row r="15" spans="1:7" ht="15.75" x14ac:dyDescent="0.25">
      <c r="A15" s="206"/>
      <c r="B15" s="208"/>
      <c r="C15" s="208"/>
      <c r="D15" s="208"/>
      <c r="E15" s="208"/>
      <c r="F15" s="208"/>
      <c r="G15" s="211"/>
    </row>
    <row r="16" spans="1:7" ht="15.75" x14ac:dyDescent="0.25">
      <c r="A16" s="206"/>
      <c r="B16" s="208"/>
      <c r="C16" s="208"/>
      <c r="D16" s="208"/>
      <c r="E16" s="208"/>
      <c r="F16" s="208"/>
      <c r="G16" s="211"/>
    </row>
    <row r="17" spans="1:7" ht="16.5" thickBot="1" x14ac:dyDescent="0.3">
      <c r="A17" s="206"/>
      <c r="B17" s="208"/>
      <c r="C17" s="208"/>
      <c r="D17" s="208"/>
      <c r="E17" s="208"/>
      <c r="F17" s="208"/>
      <c r="G17" s="211"/>
    </row>
    <row r="18" spans="1:7" ht="33.950000000000003" customHeight="1" thickTop="1" thickBot="1" x14ac:dyDescent="0.25">
      <c r="A18" s="1373" t="s">
        <v>611</v>
      </c>
      <c r="B18" s="1375"/>
      <c r="C18" s="1375"/>
      <c r="D18" s="1375"/>
      <c r="E18" s="1375"/>
      <c r="F18" s="1375"/>
      <c r="G18" s="1374"/>
    </row>
    <row r="19" spans="1:7" ht="22.5" customHeight="1" thickTop="1" thickBot="1" x14ac:dyDescent="0.3">
      <c r="A19" s="227" t="s">
        <v>612</v>
      </c>
      <c r="B19" s="8" t="s">
        <v>3</v>
      </c>
      <c r="C19" s="8" t="s">
        <v>622</v>
      </c>
      <c r="D19" s="8" t="s">
        <v>334</v>
      </c>
      <c r="E19" s="8" t="s">
        <v>613</v>
      </c>
      <c r="F19" s="8" t="s">
        <v>614</v>
      </c>
      <c r="G19" s="228" t="s">
        <v>615</v>
      </c>
    </row>
    <row r="20" spans="1:7" ht="21.6" customHeight="1" thickTop="1" x14ac:dyDescent="0.25">
      <c r="A20" s="224" t="s">
        <v>563</v>
      </c>
      <c r="B20" s="225" t="s">
        <v>13</v>
      </c>
      <c r="C20" s="223"/>
      <c r="D20" s="229"/>
      <c r="E20" s="217"/>
      <c r="F20" s="234">
        <f>ROUND(D20*E20,2)</f>
        <v>0</v>
      </c>
      <c r="G20" s="230"/>
    </row>
    <row r="21" spans="1:7" ht="21.6" customHeight="1" x14ac:dyDescent="0.25">
      <c r="A21" s="214" t="s">
        <v>616</v>
      </c>
      <c r="B21" s="205" t="s">
        <v>13</v>
      </c>
      <c r="C21" s="223"/>
      <c r="D21" s="237"/>
      <c r="E21" s="210"/>
      <c r="F21" s="236">
        <f>ROUND(D21*E21,2)</f>
        <v>0</v>
      </c>
      <c r="G21" s="230"/>
    </row>
    <row r="22" spans="1:7" ht="16.5" customHeight="1" thickBot="1" x14ac:dyDescent="0.3">
      <c r="A22" s="215"/>
      <c r="B22" s="216"/>
      <c r="C22" s="216"/>
      <c r="D22" s="216"/>
      <c r="E22" s="216"/>
      <c r="F22" s="232"/>
      <c r="G22" s="231"/>
    </row>
    <row r="23" spans="1:7" ht="26.45" customHeight="1" thickTop="1" thickBot="1" x14ac:dyDescent="0.25">
      <c r="A23" s="1380"/>
      <c r="B23" s="1380"/>
      <c r="C23" s="1380"/>
      <c r="D23" s="1381"/>
      <c r="E23" s="1376" t="s">
        <v>617</v>
      </c>
      <c r="F23" s="1377"/>
      <c r="G23" s="248">
        <f>SUM(F20:F21)</f>
        <v>0</v>
      </c>
    </row>
    <row r="24" spans="1:7" ht="21.6" customHeight="1" thickTop="1" x14ac:dyDescent="0.25">
      <c r="A24" s="218" t="s">
        <v>193</v>
      </c>
      <c r="B24" s="219" t="s">
        <v>86</v>
      </c>
      <c r="C24" s="219"/>
      <c r="D24" s="220"/>
      <c r="E24" s="220"/>
      <c r="F24" s="234">
        <f>ROUND(D24*E24,2)</f>
        <v>0</v>
      </c>
      <c r="G24" s="233"/>
    </row>
    <row r="25" spans="1:7" ht="21.6" customHeight="1" thickBot="1" x14ac:dyDescent="0.3">
      <c r="A25" s="215" t="s">
        <v>618</v>
      </c>
      <c r="B25" s="216" t="s">
        <v>3</v>
      </c>
      <c r="C25" s="216"/>
      <c r="D25" s="221"/>
      <c r="E25" s="221"/>
      <c r="F25" s="235">
        <f>ROUND(D25*E25,2)</f>
        <v>0</v>
      </c>
      <c r="G25" s="231"/>
    </row>
    <row r="26" spans="1:7" ht="26.45" customHeight="1" thickTop="1" thickBot="1" x14ac:dyDescent="0.3">
      <c r="A26" s="204"/>
      <c r="B26" s="204"/>
      <c r="C26" s="204"/>
      <c r="D26" s="204"/>
      <c r="E26" s="1382" t="s">
        <v>619</v>
      </c>
      <c r="F26" s="1379"/>
      <c r="G26" s="247">
        <f>SUM(F24:F25)</f>
        <v>0</v>
      </c>
    </row>
    <row r="27" spans="1:7" ht="26.45" customHeight="1" thickTop="1" thickBot="1" x14ac:dyDescent="0.3">
      <c r="A27" s="204"/>
      <c r="B27" s="204"/>
      <c r="C27" s="204"/>
      <c r="D27" s="204"/>
      <c r="E27" s="1373" t="s">
        <v>620</v>
      </c>
      <c r="F27" s="1374"/>
      <c r="G27" s="247">
        <f>G23+G26</f>
        <v>0</v>
      </c>
    </row>
    <row r="28" spans="1:7" ht="26.45" customHeight="1" thickTop="1" thickBot="1" x14ac:dyDescent="0.3">
      <c r="A28" s="204"/>
      <c r="B28" s="204"/>
      <c r="C28" s="204"/>
      <c r="D28" s="204"/>
      <c r="E28" s="1373" t="s">
        <v>621</v>
      </c>
      <c r="F28" s="1374"/>
      <c r="G28" s="247">
        <f>ROUND(G27/1000,2)</f>
        <v>0</v>
      </c>
    </row>
    <row r="29" spans="1:7" ht="15.75" thickTop="1" x14ac:dyDescent="0.2"/>
  </sheetData>
  <mergeCells count="13">
    <mergeCell ref="E28:F28"/>
    <mergeCell ref="A18:G18"/>
    <mergeCell ref="E23:F23"/>
    <mergeCell ref="B1:E1"/>
    <mergeCell ref="E13:F13"/>
    <mergeCell ref="A23:D23"/>
    <mergeCell ref="E26:F26"/>
    <mergeCell ref="E27:F27"/>
    <mergeCell ref="A3:G3"/>
    <mergeCell ref="E8:F8"/>
    <mergeCell ref="E11:F11"/>
    <mergeCell ref="E12:F12"/>
    <mergeCell ref="A8:D8"/>
  </mergeCells>
  <pageMargins left="0.25" right="0.25" top="0.75" bottom="0.75" header="0.3" footer="0.3"/>
  <pageSetup paperSize="9" orientation="portrait" r:id="rId1"/>
  <headerFooter>
    <oddHeader>&amp;LEL RHALMANI OUSSAMA&amp;C&amp;"Calibri,Gras"&amp;20 FACONNAGE DES ACIERS&amp;RTS 424 EP</oddHeader>
    <oddFooter>&amp;C&amp;P/&amp;N</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DB4DBFC4-8233-4486-825E-1FABC05AF6B1}">
          <x14:formula1>
            <xm:f>Notes!$B$3:$B$13</xm:f>
          </x14:formula1>
          <xm:sqref>B5:B7 B9:B10 B20:B22 B24:B25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508C9-454A-4829-BEEC-4C64877681D2}">
  <dimension ref="A1:H39"/>
  <sheetViews>
    <sheetView view="pageLayout" zoomScaleNormal="100" workbookViewId="0">
      <selection activeCell="E37" sqref="E37:G37"/>
    </sheetView>
  </sheetViews>
  <sheetFormatPr baseColWidth="10" defaultColWidth="11.42578125" defaultRowHeight="15" x14ac:dyDescent="0.2"/>
  <cols>
    <col min="1" max="1" width="23.7109375" style="98" customWidth="1"/>
    <col min="2" max="2" width="5.140625" style="98" customWidth="1"/>
    <col min="3" max="3" width="7.42578125" style="98" customWidth="1"/>
    <col min="4" max="8" width="12" style="98" customWidth="1"/>
    <col min="9" max="256" width="11.42578125" style="98"/>
    <col min="257" max="257" width="0.5703125" style="98" customWidth="1"/>
    <col min="258" max="258" width="23.7109375" style="98" customWidth="1"/>
    <col min="259" max="259" width="7" style="98" customWidth="1"/>
    <col min="260" max="260" width="13.42578125" style="98" customWidth="1"/>
    <col min="261" max="262" width="15.5703125" style="98" customWidth="1"/>
    <col min="263" max="263" width="16.28515625" style="98" customWidth="1"/>
    <col min="264" max="264" width="0.85546875" style="98" customWidth="1"/>
    <col min="265" max="512" width="11.42578125" style="98"/>
    <col min="513" max="513" width="0.5703125" style="98" customWidth="1"/>
    <col min="514" max="514" width="23.7109375" style="98" customWidth="1"/>
    <col min="515" max="515" width="7" style="98" customWidth="1"/>
    <col min="516" max="516" width="13.42578125" style="98" customWidth="1"/>
    <col min="517" max="518" width="15.5703125" style="98" customWidth="1"/>
    <col min="519" max="519" width="16.28515625" style="98" customWidth="1"/>
    <col min="520" max="520" width="0.85546875" style="98" customWidth="1"/>
    <col min="521" max="768" width="11.42578125" style="98"/>
    <col min="769" max="769" width="0.5703125" style="98" customWidth="1"/>
    <col min="770" max="770" width="23.7109375" style="98" customWidth="1"/>
    <col min="771" max="771" width="7" style="98" customWidth="1"/>
    <col min="772" max="772" width="13.42578125" style="98" customWidth="1"/>
    <col min="773" max="774" width="15.5703125" style="98" customWidth="1"/>
    <col min="775" max="775" width="16.28515625" style="98" customWidth="1"/>
    <col min="776" max="776" width="0.85546875" style="98" customWidth="1"/>
    <col min="777" max="1024" width="11.42578125" style="98"/>
    <col min="1025" max="1025" width="0.5703125" style="98" customWidth="1"/>
    <col min="1026" max="1026" width="23.7109375" style="98" customWidth="1"/>
    <col min="1027" max="1027" width="7" style="98" customWidth="1"/>
    <col min="1028" max="1028" width="13.42578125" style="98" customWidth="1"/>
    <col min="1029" max="1030" width="15.5703125" style="98" customWidth="1"/>
    <col min="1031" max="1031" width="16.28515625" style="98" customWidth="1"/>
    <col min="1032" max="1032" width="0.85546875" style="98" customWidth="1"/>
    <col min="1033" max="1280" width="11.42578125" style="98"/>
    <col min="1281" max="1281" width="0.5703125" style="98" customWidth="1"/>
    <col min="1282" max="1282" width="23.7109375" style="98" customWidth="1"/>
    <col min="1283" max="1283" width="7" style="98" customWidth="1"/>
    <col min="1284" max="1284" width="13.42578125" style="98" customWidth="1"/>
    <col min="1285" max="1286" width="15.5703125" style="98" customWidth="1"/>
    <col min="1287" max="1287" width="16.28515625" style="98" customWidth="1"/>
    <col min="1288" max="1288" width="0.85546875" style="98" customWidth="1"/>
    <col min="1289" max="1536" width="11.42578125" style="98"/>
    <col min="1537" max="1537" width="0.5703125" style="98" customWidth="1"/>
    <col min="1538" max="1538" width="23.7109375" style="98" customWidth="1"/>
    <col min="1539" max="1539" width="7" style="98" customWidth="1"/>
    <col min="1540" max="1540" width="13.42578125" style="98" customWidth="1"/>
    <col min="1541" max="1542" width="15.5703125" style="98" customWidth="1"/>
    <col min="1543" max="1543" width="16.28515625" style="98" customWidth="1"/>
    <col min="1544" max="1544" width="0.85546875" style="98" customWidth="1"/>
    <col min="1545" max="1792" width="11.42578125" style="98"/>
    <col min="1793" max="1793" width="0.5703125" style="98" customWidth="1"/>
    <col min="1794" max="1794" width="23.7109375" style="98" customWidth="1"/>
    <col min="1795" max="1795" width="7" style="98" customWidth="1"/>
    <col min="1796" max="1796" width="13.42578125" style="98" customWidth="1"/>
    <col min="1797" max="1798" width="15.5703125" style="98" customWidth="1"/>
    <col min="1799" max="1799" width="16.28515625" style="98" customWidth="1"/>
    <col min="1800" max="1800" width="0.85546875" style="98" customWidth="1"/>
    <col min="1801" max="2048" width="11.42578125" style="98"/>
    <col min="2049" max="2049" width="0.5703125" style="98" customWidth="1"/>
    <col min="2050" max="2050" width="23.7109375" style="98" customWidth="1"/>
    <col min="2051" max="2051" width="7" style="98" customWidth="1"/>
    <col min="2052" max="2052" width="13.42578125" style="98" customWidth="1"/>
    <col min="2053" max="2054" width="15.5703125" style="98" customWidth="1"/>
    <col min="2055" max="2055" width="16.28515625" style="98" customWidth="1"/>
    <col min="2056" max="2056" width="0.85546875" style="98" customWidth="1"/>
    <col min="2057" max="2304" width="11.42578125" style="98"/>
    <col min="2305" max="2305" width="0.5703125" style="98" customWidth="1"/>
    <col min="2306" max="2306" width="23.7109375" style="98" customWidth="1"/>
    <col min="2307" max="2307" width="7" style="98" customWidth="1"/>
    <col min="2308" max="2308" width="13.42578125" style="98" customWidth="1"/>
    <col min="2309" max="2310" width="15.5703125" style="98" customWidth="1"/>
    <col min="2311" max="2311" width="16.28515625" style="98" customWidth="1"/>
    <col min="2312" max="2312" width="0.85546875" style="98" customWidth="1"/>
    <col min="2313" max="2560" width="11.42578125" style="98"/>
    <col min="2561" max="2561" width="0.5703125" style="98" customWidth="1"/>
    <col min="2562" max="2562" width="23.7109375" style="98" customWidth="1"/>
    <col min="2563" max="2563" width="7" style="98" customWidth="1"/>
    <col min="2564" max="2564" width="13.42578125" style="98" customWidth="1"/>
    <col min="2565" max="2566" width="15.5703125" style="98" customWidth="1"/>
    <col min="2567" max="2567" width="16.28515625" style="98" customWidth="1"/>
    <col min="2568" max="2568" width="0.85546875" style="98" customWidth="1"/>
    <col min="2569" max="2816" width="11.42578125" style="98"/>
    <col min="2817" max="2817" width="0.5703125" style="98" customWidth="1"/>
    <col min="2818" max="2818" width="23.7109375" style="98" customWidth="1"/>
    <col min="2819" max="2819" width="7" style="98" customWidth="1"/>
    <col min="2820" max="2820" width="13.42578125" style="98" customWidth="1"/>
    <col min="2821" max="2822" width="15.5703125" style="98" customWidth="1"/>
    <col min="2823" max="2823" width="16.28515625" style="98" customWidth="1"/>
    <col min="2824" max="2824" width="0.85546875" style="98" customWidth="1"/>
    <col min="2825" max="3072" width="11.42578125" style="98"/>
    <col min="3073" max="3073" width="0.5703125" style="98" customWidth="1"/>
    <col min="3074" max="3074" width="23.7109375" style="98" customWidth="1"/>
    <col min="3075" max="3075" width="7" style="98" customWidth="1"/>
    <col min="3076" max="3076" width="13.42578125" style="98" customWidth="1"/>
    <col min="3077" max="3078" width="15.5703125" style="98" customWidth="1"/>
    <col min="3079" max="3079" width="16.28515625" style="98" customWidth="1"/>
    <col min="3080" max="3080" width="0.85546875" style="98" customWidth="1"/>
    <col min="3081" max="3328" width="11.42578125" style="98"/>
    <col min="3329" max="3329" width="0.5703125" style="98" customWidth="1"/>
    <col min="3330" max="3330" width="23.7109375" style="98" customWidth="1"/>
    <col min="3331" max="3331" width="7" style="98" customWidth="1"/>
    <col min="3332" max="3332" width="13.42578125" style="98" customWidth="1"/>
    <col min="3333" max="3334" width="15.5703125" style="98" customWidth="1"/>
    <col min="3335" max="3335" width="16.28515625" style="98" customWidth="1"/>
    <col min="3336" max="3336" width="0.85546875" style="98" customWidth="1"/>
    <col min="3337" max="3584" width="11.42578125" style="98"/>
    <col min="3585" max="3585" width="0.5703125" style="98" customWidth="1"/>
    <col min="3586" max="3586" width="23.7109375" style="98" customWidth="1"/>
    <col min="3587" max="3587" width="7" style="98" customWidth="1"/>
    <col min="3588" max="3588" width="13.42578125" style="98" customWidth="1"/>
    <col min="3589" max="3590" width="15.5703125" style="98" customWidth="1"/>
    <col min="3591" max="3591" width="16.28515625" style="98" customWidth="1"/>
    <col min="3592" max="3592" width="0.85546875" style="98" customWidth="1"/>
    <col min="3593" max="3840" width="11.42578125" style="98"/>
    <col min="3841" max="3841" width="0.5703125" style="98" customWidth="1"/>
    <col min="3842" max="3842" width="23.7109375" style="98" customWidth="1"/>
    <col min="3843" max="3843" width="7" style="98" customWidth="1"/>
    <col min="3844" max="3844" width="13.42578125" style="98" customWidth="1"/>
    <col min="3845" max="3846" width="15.5703125" style="98" customWidth="1"/>
    <col min="3847" max="3847" width="16.28515625" style="98" customWidth="1"/>
    <col min="3848" max="3848" width="0.85546875" style="98" customWidth="1"/>
    <col min="3849" max="4096" width="11.42578125" style="98"/>
    <col min="4097" max="4097" width="0.5703125" style="98" customWidth="1"/>
    <col min="4098" max="4098" width="23.7109375" style="98" customWidth="1"/>
    <col min="4099" max="4099" width="7" style="98" customWidth="1"/>
    <col min="4100" max="4100" width="13.42578125" style="98" customWidth="1"/>
    <col min="4101" max="4102" width="15.5703125" style="98" customWidth="1"/>
    <col min="4103" max="4103" width="16.28515625" style="98" customWidth="1"/>
    <col min="4104" max="4104" width="0.85546875" style="98" customWidth="1"/>
    <col min="4105" max="4352" width="11.42578125" style="98"/>
    <col min="4353" max="4353" width="0.5703125" style="98" customWidth="1"/>
    <col min="4354" max="4354" width="23.7109375" style="98" customWidth="1"/>
    <col min="4355" max="4355" width="7" style="98" customWidth="1"/>
    <col min="4356" max="4356" width="13.42578125" style="98" customWidth="1"/>
    <col min="4357" max="4358" width="15.5703125" style="98" customWidth="1"/>
    <col min="4359" max="4359" width="16.28515625" style="98" customWidth="1"/>
    <col min="4360" max="4360" width="0.85546875" style="98" customWidth="1"/>
    <col min="4361" max="4608" width="11.42578125" style="98"/>
    <col min="4609" max="4609" width="0.5703125" style="98" customWidth="1"/>
    <col min="4610" max="4610" width="23.7109375" style="98" customWidth="1"/>
    <col min="4611" max="4611" width="7" style="98" customWidth="1"/>
    <col min="4612" max="4612" width="13.42578125" style="98" customWidth="1"/>
    <col min="4613" max="4614" width="15.5703125" style="98" customWidth="1"/>
    <col min="4615" max="4615" width="16.28515625" style="98" customWidth="1"/>
    <col min="4616" max="4616" width="0.85546875" style="98" customWidth="1"/>
    <col min="4617" max="4864" width="11.42578125" style="98"/>
    <col min="4865" max="4865" width="0.5703125" style="98" customWidth="1"/>
    <col min="4866" max="4866" width="23.7109375" style="98" customWidth="1"/>
    <col min="4867" max="4867" width="7" style="98" customWidth="1"/>
    <col min="4868" max="4868" width="13.42578125" style="98" customWidth="1"/>
    <col min="4869" max="4870" width="15.5703125" style="98" customWidth="1"/>
    <col min="4871" max="4871" width="16.28515625" style="98" customWidth="1"/>
    <col min="4872" max="4872" width="0.85546875" style="98" customWidth="1"/>
    <col min="4873" max="5120" width="11.42578125" style="98"/>
    <col min="5121" max="5121" width="0.5703125" style="98" customWidth="1"/>
    <col min="5122" max="5122" width="23.7109375" style="98" customWidth="1"/>
    <col min="5123" max="5123" width="7" style="98" customWidth="1"/>
    <col min="5124" max="5124" width="13.42578125" style="98" customWidth="1"/>
    <col min="5125" max="5126" width="15.5703125" style="98" customWidth="1"/>
    <col min="5127" max="5127" width="16.28515625" style="98" customWidth="1"/>
    <col min="5128" max="5128" width="0.85546875" style="98" customWidth="1"/>
    <col min="5129" max="5376" width="11.42578125" style="98"/>
    <col min="5377" max="5377" width="0.5703125" style="98" customWidth="1"/>
    <col min="5378" max="5378" width="23.7109375" style="98" customWidth="1"/>
    <col min="5379" max="5379" width="7" style="98" customWidth="1"/>
    <col min="5380" max="5380" width="13.42578125" style="98" customWidth="1"/>
    <col min="5381" max="5382" width="15.5703125" style="98" customWidth="1"/>
    <col min="5383" max="5383" width="16.28515625" style="98" customWidth="1"/>
    <col min="5384" max="5384" width="0.85546875" style="98" customWidth="1"/>
    <col min="5385" max="5632" width="11.42578125" style="98"/>
    <col min="5633" max="5633" width="0.5703125" style="98" customWidth="1"/>
    <col min="5634" max="5634" width="23.7109375" style="98" customWidth="1"/>
    <col min="5635" max="5635" width="7" style="98" customWidth="1"/>
    <col min="5636" max="5636" width="13.42578125" style="98" customWidth="1"/>
    <col min="5637" max="5638" width="15.5703125" style="98" customWidth="1"/>
    <col min="5639" max="5639" width="16.28515625" style="98" customWidth="1"/>
    <col min="5640" max="5640" width="0.85546875" style="98" customWidth="1"/>
    <col min="5641" max="5888" width="11.42578125" style="98"/>
    <col min="5889" max="5889" width="0.5703125" style="98" customWidth="1"/>
    <col min="5890" max="5890" width="23.7109375" style="98" customWidth="1"/>
    <col min="5891" max="5891" width="7" style="98" customWidth="1"/>
    <col min="5892" max="5892" width="13.42578125" style="98" customWidth="1"/>
    <col min="5893" max="5894" width="15.5703125" style="98" customWidth="1"/>
    <col min="5895" max="5895" width="16.28515625" style="98" customWidth="1"/>
    <col min="5896" max="5896" width="0.85546875" style="98" customWidth="1"/>
    <col min="5897" max="6144" width="11.42578125" style="98"/>
    <col min="6145" max="6145" width="0.5703125" style="98" customWidth="1"/>
    <col min="6146" max="6146" width="23.7109375" style="98" customWidth="1"/>
    <col min="6147" max="6147" width="7" style="98" customWidth="1"/>
    <col min="6148" max="6148" width="13.42578125" style="98" customWidth="1"/>
    <col min="6149" max="6150" width="15.5703125" style="98" customWidth="1"/>
    <col min="6151" max="6151" width="16.28515625" style="98" customWidth="1"/>
    <col min="6152" max="6152" width="0.85546875" style="98" customWidth="1"/>
    <col min="6153" max="6400" width="11.42578125" style="98"/>
    <col min="6401" max="6401" width="0.5703125" style="98" customWidth="1"/>
    <col min="6402" max="6402" width="23.7109375" style="98" customWidth="1"/>
    <col min="6403" max="6403" width="7" style="98" customWidth="1"/>
    <col min="6404" max="6404" width="13.42578125" style="98" customWidth="1"/>
    <col min="6405" max="6406" width="15.5703125" style="98" customWidth="1"/>
    <col min="6407" max="6407" width="16.28515625" style="98" customWidth="1"/>
    <col min="6408" max="6408" width="0.85546875" style="98" customWidth="1"/>
    <col min="6409" max="6656" width="11.42578125" style="98"/>
    <col min="6657" max="6657" width="0.5703125" style="98" customWidth="1"/>
    <col min="6658" max="6658" width="23.7109375" style="98" customWidth="1"/>
    <col min="6659" max="6659" width="7" style="98" customWidth="1"/>
    <col min="6660" max="6660" width="13.42578125" style="98" customWidth="1"/>
    <col min="6661" max="6662" width="15.5703125" style="98" customWidth="1"/>
    <col min="6663" max="6663" width="16.28515625" style="98" customWidth="1"/>
    <col min="6664" max="6664" width="0.85546875" style="98" customWidth="1"/>
    <col min="6665" max="6912" width="11.42578125" style="98"/>
    <col min="6913" max="6913" width="0.5703125" style="98" customWidth="1"/>
    <col min="6914" max="6914" width="23.7109375" style="98" customWidth="1"/>
    <col min="6915" max="6915" width="7" style="98" customWidth="1"/>
    <col min="6916" max="6916" width="13.42578125" style="98" customWidth="1"/>
    <col min="6917" max="6918" width="15.5703125" style="98" customWidth="1"/>
    <col min="6919" max="6919" width="16.28515625" style="98" customWidth="1"/>
    <col min="6920" max="6920" width="0.85546875" style="98" customWidth="1"/>
    <col min="6921" max="7168" width="11.42578125" style="98"/>
    <col min="7169" max="7169" width="0.5703125" style="98" customWidth="1"/>
    <col min="7170" max="7170" width="23.7109375" style="98" customWidth="1"/>
    <col min="7171" max="7171" width="7" style="98" customWidth="1"/>
    <col min="7172" max="7172" width="13.42578125" style="98" customWidth="1"/>
    <col min="7173" max="7174" width="15.5703125" style="98" customWidth="1"/>
    <col min="7175" max="7175" width="16.28515625" style="98" customWidth="1"/>
    <col min="7176" max="7176" width="0.85546875" style="98" customWidth="1"/>
    <col min="7177" max="7424" width="11.42578125" style="98"/>
    <col min="7425" max="7425" width="0.5703125" style="98" customWidth="1"/>
    <col min="7426" max="7426" width="23.7109375" style="98" customWidth="1"/>
    <col min="7427" max="7427" width="7" style="98" customWidth="1"/>
    <col min="7428" max="7428" width="13.42578125" style="98" customWidth="1"/>
    <col min="7429" max="7430" width="15.5703125" style="98" customWidth="1"/>
    <col min="7431" max="7431" width="16.28515625" style="98" customWidth="1"/>
    <col min="7432" max="7432" width="0.85546875" style="98" customWidth="1"/>
    <col min="7433" max="7680" width="11.42578125" style="98"/>
    <col min="7681" max="7681" width="0.5703125" style="98" customWidth="1"/>
    <col min="7682" max="7682" width="23.7109375" style="98" customWidth="1"/>
    <col min="7683" max="7683" width="7" style="98" customWidth="1"/>
    <col min="7684" max="7684" width="13.42578125" style="98" customWidth="1"/>
    <col min="7685" max="7686" width="15.5703125" style="98" customWidth="1"/>
    <col min="7687" max="7687" width="16.28515625" style="98" customWidth="1"/>
    <col min="7688" max="7688" width="0.85546875" style="98" customWidth="1"/>
    <col min="7689" max="7936" width="11.42578125" style="98"/>
    <col min="7937" max="7937" width="0.5703125" style="98" customWidth="1"/>
    <col min="7938" max="7938" width="23.7109375" style="98" customWidth="1"/>
    <col min="7939" max="7939" width="7" style="98" customWidth="1"/>
    <col min="7940" max="7940" width="13.42578125" style="98" customWidth="1"/>
    <col min="7941" max="7942" width="15.5703125" style="98" customWidth="1"/>
    <col min="7943" max="7943" width="16.28515625" style="98" customWidth="1"/>
    <col min="7944" max="7944" width="0.85546875" style="98" customWidth="1"/>
    <col min="7945" max="8192" width="11.42578125" style="98"/>
    <col min="8193" max="8193" width="0.5703125" style="98" customWidth="1"/>
    <col min="8194" max="8194" width="23.7109375" style="98" customWidth="1"/>
    <col min="8195" max="8195" width="7" style="98" customWidth="1"/>
    <col min="8196" max="8196" width="13.42578125" style="98" customWidth="1"/>
    <col min="8197" max="8198" width="15.5703125" style="98" customWidth="1"/>
    <col min="8199" max="8199" width="16.28515625" style="98" customWidth="1"/>
    <col min="8200" max="8200" width="0.85546875" style="98" customWidth="1"/>
    <col min="8201" max="8448" width="11.42578125" style="98"/>
    <col min="8449" max="8449" width="0.5703125" style="98" customWidth="1"/>
    <col min="8450" max="8450" width="23.7109375" style="98" customWidth="1"/>
    <col min="8451" max="8451" width="7" style="98" customWidth="1"/>
    <col min="8452" max="8452" width="13.42578125" style="98" customWidth="1"/>
    <col min="8453" max="8454" width="15.5703125" style="98" customWidth="1"/>
    <col min="8455" max="8455" width="16.28515625" style="98" customWidth="1"/>
    <col min="8456" max="8456" width="0.85546875" style="98" customWidth="1"/>
    <col min="8457" max="8704" width="11.42578125" style="98"/>
    <col min="8705" max="8705" width="0.5703125" style="98" customWidth="1"/>
    <col min="8706" max="8706" width="23.7109375" style="98" customWidth="1"/>
    <col min="8707" max="8707" width="7" style="98" customWidth="1"/>
    <col min="8708" max="8708" width="13.42578125" style="98" customWidth="1"/>
    <col min="8709" max="8710" width="15.5703125" style="98" customWidth="1"/>
    <col min="8711" max="8711" width="16.28515625" style="98" customWidth="1"/>
    <col min="8712" max="8712" width="0.85546875" style="98" customWidth="1"/>
    <col min="8713" max="8960" width="11.42578125" style="98"/>
    <col min="8961" max="8961" width="0.5703125" style="98" customWidth="1"/>
    <col min="8962" max="8962" width="23.7109375" style="98" customWidth="1"/>
    <col min="8963" max="8963" width="7" style="98" customWidth="1"/>
    <col min="8964" max="8964" width="13.42578125" style="98" customWidth="1"/>
    <col min="8965" max="8966" width="15.5703125" style="98" customWidth="1"/>
    <col min="8967" max="8967" width="16.28515625" style="98" customWidth="1"/>
    <col min="8968" max="8968" width="0.85546875" style="98" customWidth="1"/>
    <col min="8969" max="9216" width="11.42578125" style="98"/>
    <col min="9217" max="9217" width="0.5703125" style="98" customWidth="1"/>
    <col min="9218" max="9218" width="23.7109375" style="98" customWidth="1"/>
    <col min="9219" max="9219" width="7" style="98" customWidth="1"/>
    <col min="9220" max="9220" width="13.42578125" style="98" customWidth="1"/>
    <col min="9221" max="9222" width="15.5703125" style="98" customWidth="1"/>
    <col min="9223" max="9223" width="16.28515625" style="98" customWidth="1"/>
    <col min="9224" max="9224" width="0.85546875" style="98" customWidth="1"/>
    <col min="9225" max="9472" width="11.42578125" style="98"/>
    <col min="9473" max="9473" width="0.5703125" style="98" customWidth="1"/>
    <col min="9474" max="9474" width="23.7109375" style="98" customWidth="1"/>
    <col min="9475" max="9475" width="7" style="98" customWidth="1"/>
    <col min="9476" max="9476" width="13.42578125" style="98" customWidth="1"/>
    <col min="9477" max="9478" width="15.5703125" style="98" customWidth="1"/>
    <col min="9479" max="9479" width="16.28515625" style="98" customWidth="1"/>
    <col min="9480" max="9480" width="0.85546875" style="98" customWidth="1"/>
    <col min="9481" max="9728" width="11.42578125" style="98"/>
    <col min="9729" max="9729" width="0.5703125" style="98" customWidth="1"/>
    <col min="9730" max="9730" width="23.7109375" style="98" customWidth="1"/>
    <col min="9731" max="9731" width="7" style="98" customWidth="1"/>
    <col min="9732" max="9732" width="13.42578125" style="98" customWidth="1"/>
    <col min="9733" max="9734" width="15.5703125" style="98" customWidth="1"/>
    <col min="9735" max="9735" width="16.28515625" style="98" customWidth="1"/>
    <col min="9736" max="9736" width="0.85546875" style="98" customWidth="1"/>
    <col min="9737" max="9984" width="11.42578125" style="98"/>
    <col min="9985" max="9985" width="0.5703125" style="98" customWidth="1"/>
    <col min="9986" max="9986" width="23.7109375" style="98" customWidth="1"/>
    <col min="9987" max="9987" width="7" style="98" customWidth="1"/>
    <col min="9988" max="9988" width="13.42578125" style="98" customWidth="1"/>
    <col min="9989" max="9990" width="15.5703125" style="98" customWidth="1"/>
    <col min="9991" max="9991" width="16.28515625" style="98" customWidth="1"/>
    <col min="9992" max="9992" width="0.85546875" style="98" customWidth="1"/>
    <col min="9993" max="10240" width="11.42578125" style="98"/>
    <col min="10241" max="10241" width="0.5703125" style="98" customWidth="1"/>
    <col min="10242" max="10242" width="23.7109375" style="98" customWidth="1"/>
    <col min="10243" max="10243" width="7" style="98" customWidth="1"/>
    <col min="10244" max="10244" width="13.42578125" style="98" customWidth="1"/>
    <col min="10245" max="10246" width="15.5703125" style="98" customWidth="1"/>
    <col min="10247" max="10247" width="16.28515625" style="98" customWidth="1"/>
    <col min="10248" max="10248" width="0.85546875" style="98" customWidth="1"/>
    <col min="10249" max="10496" width="11.42578125" style="98"/>
    <col min="10497" max="10497" width="0.5703125" style="98" customWidth="1"/>
    <col min="10498" max="10498" width="23.7109375" style="98" customWidth="1"/>
    <col min="10499" max="10499" width="7" style="98" customWidth="1"/>
    <col min="10500" max="10500" width="13.42578125" style="98" customWidth="1"/>
    <col min="10501" max="10502" width="15.5703125" style="98" customWidth="1"/>
    <col min="10503" max="10503" width="16.28515625" style="98" customWidth="1"/>
    <col min="10504" max="10504" width="0.85546875" style="98" customWidth="1"/>
    <col min="10505" max="10752" width="11.42578125" style="98"/>
    <col min="10753" max="10753" width="0.5703125" style="98" customWidth="1"/>
    <col min="10754" max="10754" width="23.7109375" style="98" customWidth="1"/>
    <col min="10755" max="10755" width="7" style="98" customWidth="1"/>
    <col min="10756" max="10756" width="13.42578125" style="98" customWidth="1"/>
    <col min="10757" max="10758" width="15.5703125" style="98" customWidth="1"/>
    <col min="10759" max="10759" width="16.28515625" style="98" customWidth="1"/>
    <col min="10760" max="10760" width="0.85546875" style="98" customWidth="1"/>
    <col min="10761" max="11008" width="11.42578125" style="98"/>
    <col min="11009" max="11009" width="0.5703125" style="98" customWidth="1"/>
    <col min="11010" max="11010" width="23.7109375" style="98" customWidth="1"/>
    <col min="11011" max="11011" width="7" style="98" customWidth="1"/>
    <col min="11012" max="11012" width="13.42578125" style="98" customWidth="1"/>
    <col min="11013" max="11014" width="15.5703125" style="98" customWidth="1"/>
    <col min="11015" max="11015" width="16.28515625" style="98" customWidth="1"/>
    <col min="11016" max="11016" width="0.85546875" style="98" customWidth="1"/>
    <col min="11017" max="11264" width="11.42578125" style="98"/>
    <col min="11265" max="11265" width="0.5703125" style="98" customWidth="1"/>
    <col min="11266" max="11266" width="23.7109375" style="98" customWidth="1"/>
    <col min="11267" max="11267" width="7" style="98" customWidth="1"/>
    <col min="11268" max="11268" width="13.42578125" style="98" customWidth="1"/>
    <col min="11269" max="11270" width="15.5703125" style="98" customWidth="1"/>
    <col min="11271" max="11271" width="16.28515625" style="98" customWidth="1"/>
    <col min="11272" max="11272" width="0.85546875" style="98" customWidth="1"/>
    <col min="11273" max="11520" width="11.42578125" style="98"/>
    <col min="11521" max="11521" width="0.5703125" style="98" customWidth="1"/>
    <col min="11522" max="11522" width="23.7109375" style="98" customWidth="1"/>
    <col min="11523" max="11523" width="7" style="98" customWidth="1"/>
    <col min="11524" max="11524" width="13.42578125" style="98" customWidth="1"/>
    <col min="11525" max="11526" width="15.5703125" style="98" customWidth="1"/>
    <col min="11527" max="11527" width="16.28515625" style="98" customWidth="1"/>
    <col min="11528" max="11528" width="0.85546875" style="98" customWidth="1"/>
    <col min="11529" max="11776" width="11.42578125" style="98"/>
    <col min="11777" max="11777" width="0.5703125" style="98" customWidth="1"/>
    <col min="11778" max="11778" width="23.7109375" style="98" customWidth="1"/>
    <col min="11779" max="11779" width="7" style="98" customWidth="1"/>
    <col min="11780" max="11780" width="13.42578125" style="98" customWidth="1"/>
    <col min="11781" max="11782" width="15.5703125" style="98" customWidth="1"/>
    <col min="11783" max="11783" width="16.28515625" style="98" customWidth="1"/>
    <col min="11784" max="11784" width="0.85546875" style="98" customWidth="1"/>
    <col min="11785" max="12032" width="11.42578125" style="98"/>
    <col min="12033" max="12033" width="0.5703125" style="98" customWidth="1"/>
    <col min="12034" max="12034" width="23.7109375" style="98" customWidth="1"/>
    <col min="12035" max="12035" width="7" style="98" customWidth="1"/>
    <col min="12036" max="12036" width="13.42578125" style="98" customWidth="1"/>
    <col min="12037" max="12038" width="15.5703125" style="98" customWidth="1"/>
    <col min="12039" max="12039" width="16.28515625" style="98" customWidth="1"/>
    <col min="12040" max="12040" width="0.85546875" style="98" customWidth="1"/>
    <col min="12041" max="12288" width="11.42578125" style="98"/>
    <col min="12289" max="12289" width="0.5703125" style="98" customWidth="1"/>
    <col min="12290" max="12290" width="23.7109375" style="98" customWidth="1"/>
    <col min="12291" max="12291" width="7" style="98" customWidth="1"/>
    <col min="12292" max="12292" width="13.42578125" style="98" customWidth="1"/>
    <col min="12293" max="12294" width="15.5703125" style="98" customWidth="1"/>
    <col min="12295" max="12295" width="16.28515625" style="98" customWidth="1"/>
    <col min="12296" max="12296" width="0.85546875" style="98" customWidth="1"/>
    <col min="12297" max="12544" width="11.42578125" style="98"/>
    <col min="12545" max="12545" width="0.5703125" style="98" customWidth="1"/>
    <col min="12546" max="12546" width="23.7109375" style="98" customWidth="1"/>
    <col min="12547" max="12547" width="7" style="98" customWidth="1"/>
    <col min="12548" max="12548" width="13.42578125" style="98" customWidth="1"/>
    <col min="12549" max="12550" width="15.5703125" style="98" customWidth="1"/>
    <col min="12551" max="12551" width="16.28515625" style="98" customWidth="1"/>
    <col min="12552" max="12552" width="0.85546875" style="98" customWidth="1"/>
    <col min="12553" max="12800" width="11.42578125" style="98"/>
    <col min="12801" max="12801" width="0.5703125" style="98" customWidth="1"/>
    <col min="12802" max="12802" width="23.7109375" style="98" customWidth="1"/>
    <col min="12803" max="12803" width="7" style="98" customWidth="1"/>
    <col min="12804" max="12804" width="13.42578125" style="98" customWidth="1"/>
    <col min="12805" max="12806" width="15.5703125" style="98" customWidth="1"/>
    <col min="12807" max="12807" width="16.28515625" style="98" customWidth="1"/>
    <col min="12808" max="12808" width="0.85546875" style="98" customWidth="1"/>
    <col min="12809" max="13056" width="11.42578125" style="98"/>
    <col min="13057" max="13057" width="0.5703125" style="98" customWidth="1"/>
    <col min="13058" max="13058" width="23.7109375" style="98" customWidth="1"/>
    <col min="13059" max="13059" width="7" style="98" customWidth="1"/>
    <col min="13060" max="13060" width="13.42578125" style="98" customWidth="1"/>
    <col min="13061" max="13062" width="15.5703125" style="98" customWidth="1"/>
    <col min="13063" max="13063" width="16.28515625" style="98" customWidth="1"/>
    <col min="13064" max="13064" width="0.85546875" style="98" customWidth="1"/>
    <col min="13065" max="13312" width="11.42578125" style="98"/>
    <col min="13313" max="13313" width="0.5703125" style="98" customWidth="1"/>
    <col min="13314" max="13314" width="23.7109375" style="98" customWidth="1"/>
    <col min="13315" max="13315" width="7" style="98" customWidth="1"/>
    <col min="13316" max="13316" width="13.42578125" style="98" customWidth="1"/>
    <col min="13317" max="13318" width="15.5703125" style="98" customWidth="1"/>
    <col min="13319" max="13319" width="16.28515625" style="98" customWidth="1"/>
    <col min="13320" max="13320" width="0.85546875" style="98" customWidth="1"/>
    <col min="13321" max="13568" width="11.42578125" style="98"/>
    <col min="13569" max="13569" width="0.5703125" style="98" customWidth="1"/>
    <col min="13570" max="13570" width="23.7109375" style="98" customWidth="1"/>
    <col min="13571" max="13571" width="7" style="98" customWidth="1"/>
    <col min="13572" max="13572" width="13.42578125" style="98" customWidth="1"/>
    <col min="13573" max="13574" width="15.5703125" style="98" customWidth="1"/>
    <col min="13575" max="13575" width="16.28515625" style="98" customWidth="1"/>
    <col min="13576" max="13576" width="0.85546875" style="98" customWidth="1"/>
    <col min="13577" max="13824" width="11.42578125" style="98"/>
    <col min="13825" max="13825" width="0.5703125" style="98" customWidth="1"/>
    <col min="13826" max="13826" width="23.7109375" style="98" customWidth="1"/>
    <col min="13827" max="13827" width="7" style="98" customWidth="1"/>
    <col min="13828" max="13828" width="13.42578125" style="98" customWidth="1"/>
    <col min="13829" max="13830" width="15.5703125" style="98" customWidth="1"/>
    <col min="13831" max="13831" width="16.28515625" style="98" customWidth="1"/>
    <col min="13832" max="13832" width="0.85546875" style="98" customWidth="1"/>
    <col min="13833" max="14080" width="11.42578125" style="98"/>
    <col min="14081" max="14081" width="0.5703125" style="98" customWidth="1"/>
    <col min="14082" max="14082" width="23.7109375" style="98" customWidth="1"/>
    <col min="14083" max="14083" width="7" style="98" customWidth="1"/>
    <col min="14084" max="14084" width="13.42578125" style="98" customWidth="1"/>
    <col min="14085" max="14086" width="15.5703125" style="98" customWidth="1"/>
    <col min="14087" max="14087" width="16.28515625" style="98" customWidth="1"/>
    <col min="14088" max="14088" width="0.85546875" style="98" customWidth="1"/>
    <col min="14089" max="14336" width="11.42578125" style="98"/>
    <col min="14337" max="14337" width="0.5703125" style="98" customWidth="1"/>
    <col min="14338" max="14338" width="23.7109375" style="98" customWidth="1"/>
    <col min="14339" max="14339" width="7" style="98" customWidth="1"/>
    <col min="14340" max="14340" width="13.42578125" style="98" customWidth="1"/>
    <col min="14341" max="14342" width="15.5703125" style="98" customWidth="1"/>
    <col min="14343" max="14343" width="16.28515625" style="98" customWidth="1"/>
    <col min="14344" max="14344" width="0.85546875" style="98" customWidth="1"/>
    <col min="14345" max="14592" width="11.42578125" style="98"/>
    <col min="14593" max="14593" width="0.5703125" style="98" customWidth="1"/>
    <col min="14594" max="14594" width="23.7109375" style="98" customWidth="1"/>
    <col min="14595" max="14595" width="7" style="98" customWidth="1"/>
    <col min="14596" max="14596" width="13.42578125" style="98" customWidth="1"/>
    <col min="14597" max="14598" width="15.5703125" style="98" customWidth="1"/>
    <col min="14599" max="14599" width="16.28515625" style="98" customWidth="1"/>
    <col min="14600" max="14600" width="0.85546875" style="98" customWidth="1"/>
    <col min="14601" max="14848" width="11.42578125" style="98"/>
    <col min="14849" max="14849" width="0.5703125" style="98" customWidth="1"/>
    <col min="14850" max="14850" width="23.7109375" style="98" customWidth="1"/>
    <col min="14851" max="14851" width="7" style="98" customWidth="1"/>
    <col min="14852" max="14852" width="13.42578125" style="98" customWidth="1"/>
    <col min="14853" max="14854" width="15.5703125" style="98" customWidth="1"/>
    <col min="14855" max="14855" width="16.28515625" style="98" customWidth="1"/>
    <col min="14856" max="14856" width="0.85546875" style="98" customWidth="1"/>
    <col min="14857" max="15104" width="11.42578125" style="98"/>
    <col min="15105" max="15105" width="0.5703125" style="98" customWidth="1"/>
    <col min="15106" max="15106" width="23.7109375" style="98" customWidth="1"/>
    <col min="15107" max="15107" width="7" style="98" customWidth="1"/>
    <col min="15108" max="15108" width="13.42578125" style="98" customWidth="1"/>
    <col min="15109" max="15110" width="15.5703125" style="98" customWidth="1"/>
    <col min="15111" max="15111" width="16.28515625" style="98" customWidth="1"/>
    <col min="15112" max="15112" width="0.85546875" style="98" customWidth="1"/>
    <col min="15113" max="15360" width="11.42578125" style="98"/>
    <col min="15361" max="15361" width="0.5703125" style="98" customWidth="1"/>
    <col min="15362" max="15362" width="23.7109375" style="98" customWidth="1"/>
    <col min="15363" max="15363" width="7" style="98" customWidth="1"/>
    <col min="15364" max="15364" width="13.42578125" style="98" customWidth="1"/>
    <col min="15365" max="15366" width="15.5703125" style="98" customWidth="1"/>
    <col min="15367" max="15367" width="16.28515625" style="98" customWidth="1"/>
    <col min="15368" max="15368" width="0.85546875" style="98" customWidth="1"/>
    <col min="15369" max="15616" width="11.42578125" style="98"/>
    <col min="15617" max="15617" width="0.5703125" style="98" customWidth="1"/>
    <col min="15618" max="15618" width="23.7109375" style="98" customWidth="1"/>
    <col min="15619" max="15619" width="7" style="98" customWidth="1"/>
    <col min="15620" max="15620" width="13.42578125" style="98" customWidth="1"/>
    <col min="15621" max="15622" width="15.5703125" style="98" customWidth="1"/>
    <col min="15623" max="15623" width="16.28515625" style="98" customWidth="1"/>
    <col min="15624" max="15624" width="0.85546875" style="98" customWidth="1"/>
    <col min="15625" max="15872" width="11.42578125" style="98"/>
    <col min="15873" max="15873" width="0.5703125" style="98" customWidth="1"/>
    <col min="15874" max="15874" width="23.7109375" style="98" customWidth="1"/>
    <col min="15875" max="15875" width="7" style="98" customWidth="1"/>
    <col min="15876" max="15876" width="13.42578125" style="98" customWidth="1"/>
    <col min="15877" max="15878" width="15.5703125" style="98" customWidth="1"/>
    <col min="15879" max="15879" width="16.28515625" style="98" customWidth="1"/>
    <col min="15880" max="15880" width="0.85546875" style="98" customWidth="1"/>
    <col min="15881" max="16128" width="11.42578125" style="98"/>
    <col min="16129" max="16129" width="0.5703125" style="98" customWidth="1"/>
    <col min="16130" max="16130" width="23.7109375" style="98" customWidth="1"/>
    <col min="16131" max="16131" width="7" style="98" customWidth="1"/>
    <col min="16132" max="16132" width="13.42578125" style="98" customWidth="1"/>
    <col min="16133" max="16134" width="15.5703125" style="98" customWidth="1"/>
    <col min="16135" max="16135" width="16.28515625" style="98" customWidth="1"/>
    <col min="16136" max="16136" width="0.85546875" style="98" customWidth="1"/>
    <col min="16137" max="16384" width="11.42578125" style="98"/>
  </cols>
  <sheetData>
    <row r="1" spans="1:8" ht="17.25" thickTop="1" thickBot="1" x14ac:dyDescent="0.25">
      <c r="A1" s="692" t="s">
        <v>523</v>
      </c>
      <c r="B1" s="1378">
        <f>'(C.H.M) MAIN D''OEUVRE'!C2</f>
        <v>1</v>
      </c>
      <c r="C1" s="1378"/>
      <c r="D1" s="1378"/>
      <c r="E1" s="1378"/>
      <c r="F1" s="1379"/>
      <c r="G1" s="212" t="s">
        <v>57</v>
      </c>
      <c r="H1" s="213">
        <f ca="1">TODAY()</f>
        <v>46093</v>
      </c>
    </row>
    <row r="2" spans="1:8" ht="16.5" thickTop="1" x14ac:dyDescent="0.2">
      <c r="A2" s="299"/>
      <c r="B2" s="301"/>
      <c r="C2" s="301"/>
      <c r="D2" s="301"/>
      <c r="E2" s="301"/>
      <c r="F2" s="301"/>
      <c r="G2" s="298"/>
      <c r="H2" s="302"/>
    </row>
    <row r="3" spans="1:8" ht="15.75" thickBot="1" x14ac:dyDescent="0.25"/>
    <row r="4" spans="1:8" ht="16.5" customHeight="1" thickTop="1" thickBot="1" x14ac:dyDescent="0.25">
      <c r="A4" s="1373" t="s">
        <v>628</v>
      </c>
      <c r="B4" s="1375"/>
      <c r="C4" s="1375"/>
      <c r="D4" s="1375"/>
      <c r="E4" s="1375"/>
      <c r="F4" s="1375"/>
      <c r="G4" s="1375"/>
      <c r="H4" s="1374"/>
    </row>
    <row r="5" spans="1:8" ht="33" thickTop="1" thickBot="1" x14ac:dyDescent="0.3">
      <c r="A5" s="227" t="s">
        <v>612</v>
      </c>
      <c r="B5" s="8" t="s">
        <v>3</v>
      </c>
      <c r="C5" s="8" t="s">
        <v>622</v>
      </c>
      <c r="D5" s="8" t="s">
        <v>334</v>
      </c>
      <c r="E5" s="662" t="s">
        <v>1107</v>
      </c>
      <c r="F5" s="8" t="s">
        <v>613</v>
      </c>
      <c r="G5" s="8" t="s">
        <v>614</v>
      </c>
      <c r="H5" s="228" t="s">
        <v>615</v>
      </c>
    </row>
    <row r="6" spans="1:8" ht="16.5" thickTop="1" x14ac:dyDescent="0.25">
      <c r="A6" s="214" t="s">
        <v>631</v>
      </c>
      <c r="B6" s="225" t="s">
        <v>13</v>
      </c>
      <c r="C6" s="223">
        <v>0</v>
      </c>
      <c r="D6" s="665">
        <v>0</v>
      </c>
      <c r="E6" s="650">
        <f>SUM(D6+C6*D6)</f>
        <v>0</v>
      </c>
      <c r="F6" s="250">
        <v>0</v>
      </c>
      <c r="G6" s="240">
        <f>ROUND(E6*F6,2)</f>
        <v>0</v>
      </c>
      <c r="H6" s="238"/>
    </row>
    <row r="7" spans="1:8" ht="15.75" x14ac:dyDescent="0.25">
      <c r="A7" s="214" t="s">
        <v>632</v>
      </c>
      <c r="B7" s="225" t="s">
        <v>13</v>
      </c>
      <c r="C7" s="223">
        <v>0</v>
      </c>
      <c r="D7" s="203">
        <v>0</v>
      </c>
      <c r="E7" s="650">
        <f>SUM(D7+C7*D7)</f>
        <v>0</v>
      </c>
      <c r="F7" s="249">
        <v>0</v>
      </c>
      <c r="G7" s="241">
        <f>ROUND(E7*F7,2)</f>
        <v>0</v>
      </c>
      <c r="H7" s="238"/>
    </row>
    <row r="8" spans="1:8" ht="15.75" x14ac:dyDescent="0.25">
      <c r="A8" s="214" t="s">
        <v>633</v>
      </c>
      <c r="B8" s="225" t="s">
        <v>13</v>
      </c>
      <c r="C8" s="223">
        <v>0</v>
      </c>
      <c r="D8" s="203">
        <v>0</v>
      </c>
      <c r="E8" s="650">
        <f t="shared" ref="E8:E9" si="0">SUM(D8+C8*D8)</f>
        <v>0</v>
      </c>
      <c r="F8" s="249">
        <v>0</v>
      </c>
      <c r="G8" s="241">
        <f>ROUND(E8*F8,2)</f>
        <v>0</v>
      </c>
      <c r="H8" s="238"/>
    </row>
    <row r="9" spans="1:8" ht="16.5" thickBot="1" x14ac:dyDescent="0.3">
      <c r="A9" s="214" t="s">
        <v>627</v>
      </c>
      <c r="B9" s="225" t="s">
        <v>13</v>
      </c>
      <c r="C9" s="223">
        <v>0</v>
      </c>
      <c r="D9" s="663">
        <v>0</v>
      </c>
      <c r="E9" s="666">
        <f t="shared" si="0"/>
        <v>0</v>
      </c>
      <c r="F9" s="667">
        <v>0</v>
      </c>
      <c r="G9" s="668">
        <f>ROUND(E9*F9,2)</f>
        <v>0</v>
      </c>
      <c r="H9" s="238"/>
    </row>
    <row r="10" spans="1:8" ht="17.25" thickTop="1" thickBot="1" x14ac:dyDescent="0.25">
      <c r="A10" s="1380"/>
      <c r="B10" s="1380"/>
      <c r="C10" s="1380"/>
      <c r="D10" s="1381"/>
      <c r="E10" s="1383" t="s">
        <v>617</v>
      </c>
      <c r="F10" s="1380"/>
      <c r="G10" s="1381"/>
      <c r="H10" s="248">
        <f>SUM(G6:G9)</f>
        <v>0</v>
      </c>
    </row>
    <row r="11" spans="1:8" ht="16.5" thickTop="1" x14ac:dyDescent="0.25">
      <c r="A11" s="218" t="s">
        <v>193</v>
      </c>
      <c r="B11" s="219" t="s">
        <v>86</v>
      </c>
      <c r="C11" s="219"/>
      <c r="D11" s="220">
        <v>0</v>
      </c>
      <c r="E11" s="220"/>
      <c r="F11" s="220">
        <v>16.5</v>
      </c>
      <c r="G11" s="234">
        <f>ROUND(D11*F11,2)</f>
        <v>0</v>
      </c>
      <c r="H11" s="660"/>
    </row>
    <row r="12" spans="1:8" ht="16.5" thickBot="1" x14ac:dyDescent="0.3">
      <c r="A12" s="215" t="s">
        <v>618</v>
      </c>
      <c r="B12" s="216" t="s">
        <v>3</v>
      </c>
      <c r="C12" s="216"/>
      <c r="D12" s="221">
        <v>1</v>
      </c>
      <c r="E12" s="221"/>
      <c r="F12" s="221">
        <v>0</v>
      </c>
      <c r="G12" s="235">
        <f>ROUND(D12*F12,2)</f>
        <v>0</v>
      </c>
      <c r="H12" s="661"/>
    </row>
    <row r="13" spans="1:8" ht="16.5" customHeight="1" thickTop="1" thickBot="1" x14ac:dyDescent="0.3">
      <c r="A13" s="204"/>
      <c r="B13" s="204"/>
      <c r="C13" s="204"/>
      <c r="D13" s="204"/>
      <c r="E13" s="1387" t="s">
        <v>619</v>
      </c>
      <c r="F13" s="1388"/>
      <c r="G13" s="1389"/>
      <c r="H13" s="247">
        <f>SUM(G11:G12)</f>
        <v>0</v>
      </c>
    </row>
    <row r="14" spans="1:8" ht="16.5" customHeight="1" thickTop="1" thickBot="1" x14ac:dyDescent="0.3">
      <c r="A14" s="204"/>
      <c r="B14" s="204"/>
      <c r="C14" s="204"/>
      <c r="D14" s="204"/>
      <c r="E14" s="1384" t="s">
        <v>626</v>
      </c>
      <c r="F14" s="1385"/>
      <c r="G14" s="1386"/>
      <c r="H14" s="247">
        <f>SUM(H13,H10)</f>
        <v>0</v>
      </c>
    </row>
    <row r="15" spans="1:8" ht="16.5" customHeight="1" thickTop="1" thickBot="1" x14ac:dyDescent="0.3">
      <c r="A15" s="204"/>
      <c r="B15" s="204"/>
      <c r="C15" s="204"/>
      <c r="D15" s="204"/>
      <c r="E15" s="204"/>
      <c r="F15" s="299"/>
      <c r="G15" s="299"/>
      <c r="H15" s="300"/>
    </row>
    <row r="16" spans="1:8" ht="17.25" thickTop="1" thickBot="1" x14ac:dyDescent="0.25">
      <c r="A16" s="1373" t="s">
        <v>629</v>
      </c>
      <c r="B16" s="1375"/>
      <c r="C16" s="1375"/>
      <c r="D16" s="1375"/>
      <c r="E16" s="1375"/>
      <c r="F16" s="1375"/>
      <c r="G16" s="1375"/>
      <c r="H16" s="1374"/>
    </row>
    <row r="17" spans="1:8" ht="33" thickTop="1" thickBot="1" x14ac:dyDescent="0.3">
      <c r="A17" s="227" t="s">
        <v>612</v>
      </c>
      <c r="B17" s="8" t="s">
        <v>3</v>
      </c>
      <c r="C17" s="8" t="s">
        <v>622</v>
      </c>
      <c r="D17" s="8" t="s">
        <v>334</v>
      </c>
      <c r="E17" s="662" t="s">
        <v>1107</v>
      </c>
      <c r="F17" s="8" t="s">
        <v>613</v>
      </c>
      <c r="G17" s="8" t="s">
        <v>614</v>
      </c>
      <c r="H17" s="228" t="s">
        <v>615</v>
      </c>
    </row>
    <row r="18" spans="1:8" ht="16.5" thickTop="1" x14ac:dyDescent="0.25">
      <c r="A18" s="214" t="s">
        <v>631</v>
      </c>
      <c r="B18" s="225" t="s">
        <v>13</v>
      </c>
      <c r="C18" s="223">
        <v>0</v>
      </c>
      <c r="D18" s="665">
        <v>0</v>
      </c>
      <c r="E18" s="650">
        <f>SUM(D18+C18*D18)</f>
        <v>0</v>
      </c>
      <c r="F18" s="250">
        <v>0</v>
      </c>
      <c r="G18" s="240">
        <f>ROUND(E18*F18,2)</f>
        <v>0</v>
      </c>
      <c r="H18" s="238"/>
    </row>
    <row r="19" spans="1:8" ht="15.75" x14ac:dyDescent="0.25">
      <c r="A19" s="214" t="s">
        <v>632</v>
      </c>
      <c r="B19" s="225" t="s">
        <v>13</v>
      </c>
      <c r="C19" s="223">
        <v>0</v>
      </c>
      <c r="D19" s="203">
        <v>0</v>
      </c>
      <c r="E19" s="650">
        <f>SUM(D19+C19*D19)</f>
        <v>0</v>
      </c>
      <c r="F19" s="249">
        <v>0</v>
      </c>
      <c r="G19" s="241">
        <f>ROUND(E19*F19,2)</f>
        <v>0</v>
      </c>
      <c r="H19" s="238"/>
    </row>
    <row r="20" spans="1:8" ht="15.75" x14ac:dyDescent="0.25">
      <c r="A20" s="214" t="s">
        <v>633</v>
      </c>
      <c r="B20" s="225" t="s">
        <v>13</v>
      </c>
      <c r="C20" s="223">
        <v>0</v>
      </c>
      <c r="D20" s="203">
        <v>0</v>
      </c>
      <c r="E20" s="650">
        <f t="shared" ref="E20:E21" si="1">SUM(D20+C20*D20)</f>
        <v>0</v>
      </c>
      <c r="F20" s="249">
        <v>0</v>
      </c>
      <c r="G20" s="241">
        <f>ROUND(E20*F20,2)</f>
        <v>0</v>
      </c>
      <c r="H20" s="238"/>
    </row>
    <row r="21" spans="1:8" ht="16.5" thickBot="1" x14ac:dyDescent="0.3">
      <c r="A21" s="214" t="s">
        <v>627</v>
      </c>
      <c r="B21" s="225" t="s">
        <v>13</v>
      </c>
      <c r="C21" s="223">
        <v>0</v>
      </c>
      <c r="D21" s="663">
        <v>0</v>
      </c>
      <c r="E21" s="666">
        <f t="shared" si="1"/>
        <v>0</v>
      </c>
      <c r="F21" s="667">
        <v>0</v>
      </c>
      <c r="G21" s="668">
        <f>ROUND(E21*F21,2)</f>
        <v>0</v>
      </c>
      <c r="H21" s="238"/>
    </row>
    <row r="22" spans="1:8" ht="17.25" thickTop="1" thickBot="1" x14ac:dyDescent="0.25">
      <c r="A22" s="1380"/>
      <c r="B22" s="1380"/>
      <c r="C22" s="1380"/>
      <c r="D22" s="1381"/>
      <c r="E22" s="1383" t="s">
        <v>617</v>
      </c>
      <c r="F22" s="1380"/>
      <c r="G22" s="1381"/>
      <c r="H22" s="248">
        <f>SUM(G18:G21)</f>
        <v>0</v>
      </c>
    </row>
    <row r="23" spans="1:8" ht="16.5" thickTop="1" x14ac:dyDescent="0.25">
      <c r="A23" s="218" t="s">
        <v>193</v>
      </c>
      <c r="B23" s="219" t="s">
        <v>86</v>
      </c>
      <c r="C23" s="219"/>
      <c r="D23" s="220">
        <v>0</v>
      </c>
      <c r="E23" s="220"/>
      <c r="F23" s="220">
        <v>16.5</v>
      </c>
      <c r="G23" s="234">
        <f>ROUND(D23*F23,2)</f>
        <v>0</v>
      </c>
      <c r="H23" s="660"/>
    </row>
    <row r="24" spans="1:8" ht="16.5" thickBot="1" x14ac:dyDescent="0.3">
      <c r="A24" s="215" t="s">
        <v>618</v>
      </c>
      <c r="B24" s="216" t="s">
        <v>3</v>
      </c>
      <c r="C24" s="216"/>
      <c r="D24" s="221">
        <v>1</v>
      </c>
      <c r="E24" s="221"/>
      <c r="F24" s="221">
        <v>0</v>
      </c>
      <c r="G24" s="235">
        <f>ROUND(D24*F24,2)</f>
        <v>0</v>
      </c>
      <c r="H24" s="661"/>
    </row>
    <row r="25" spans="1:8" ht="17.25" customHeight="1" thickTop="1" thickBot="1" x14ac:dyDescent="0.3">
      <c r="A25" s="204"/>
      <c r="B25" s="204"/>
      <c r="C25" s="204"/>
      <c r="D25" s="204"/>
      <c r="E25" s="1387" t="s">
        <v>619</v>
      </c>
      <c r="F25" s="1388"/>
      <c r="G25" s="1389"/>
      <c r="H25" s="247">
        <f>SUM(G23:G24)</f>
        <v>0</v>
      </c>
    </row>
    <row r="26" spans="1:8" ht="17.25" customHeight="1" thickTop="1" thickBot="1" x14ac:dyDescent="0.3">
      <c r="A26" s="204"/>
      <c r="B26" s="204"/>
      <c r="C26" s="204"/>
      <c r="D26" s="204"/>
      <c r="E26" s="1384" t="s">
        <v>626</v>
      </c>
      <c r="F26" s="1385"/>
      <c r="G26" s="1386"/>
      <c r="H26" s="247">
        <f>SUM(H25,H22)</f>
        <v>0</v>
      </c>
    </row>
    <row r="27" spans="1:8" ht="17.25" thickTop="1" thickBot="1" x14ac:dyDescent="0.3">
      <c r="A27" s="204"/>
      <c r="B27" s="204"/>
      <c r="C27" s="204"/>
      <c r="D27" s="204"/>
      <c r="E27" s="204"/>
      <c r="F27" s="299"/>
      <c r="G27" s="299"/>
      <c r="H27" s="300"/>
    </row>
    <row r="28" spans="1:8" ht="16.5" customHeight="1" thickTop="1" thickBot="1" x14ac:dyDescent="0.25">
      <c r="A28" s="1373" t="s">
        <v>630</v>
      </c>
      <c r="B28" s="1375"/>
      <c r="C28" s="1375"/>
      <c r="D28" s="1375"/>
      <c r="E28" s="1375"/>
      <c r="F28" s="1375"/>
      <c r="G28" s="1375"/>
      <c r="H28" s="1374"/>
    </row>
    <row r="29" spans="1:8" ht="33" thickTop="1" thickBot="1" x14ac:dyDescent="0.3">
      <c r="A29" s="227" t="s">
        <v>612</v>
      </c>
      <c r="B29" s="8" t="s">
        <v>3</v>
      </c>
      <c r="C29" s="8" t="s">
        <v>622</v>
      </c>
      <c r="D29" s="8" t="s">
        <v>334</v>
      </c>
      <c r="E29" s="662" t="s">
        <v>1107</v>
      </c>
      <c r="F29" s="8" t="s">
        <v>613</v>
      </c>
      <c r="G29" s="8" t="s">
        <v>614</v>
      </c>
      <c r="H29" s="228" t="s">
        <v>615</v>
      </c>
    </row>
    <row r="30" spans="1:8" ht="16.5" thickTop="1" x14ac:dyDescent="0.25">
      <c r="A30" s="214" t="s">
        <v>631</v>
      </c>
      <c r="B30" s="225" t="s">
        <v>13</v>
      </c>
      <c r="C30" s="223">
        <v>0</v>
      </c>
      <c r="D30" s="665">
        <v>0</v>
      </c>
      <c r="E30" s="650">
        <f>SUM(D30+C30*D30)</f>
        <v>0</v>
      </c>
      <c r="F30" s="250">
        <v>0</v>
      </c>
      <c r="G30" s="240">
        <f>ROUND(E30*F30,2)</f>
        <v>0</v>
      </c>
      <c r="H30" s="238"/>
    </row>
    <row r="31" spans="1:8" ht="15.75" x14ac:dyDescent="0.25">
      <c r="A31" s="214" t="s">
        <v>632</v>
      </c>
      <c r="B31" s="225" t="s">
        <v>13</v>
      </c>
      <c r="C31" s="223">
        <v>0</v>
      </c>
      <c r="D31" s="203">
        <v>0</v>
      </c>
      <c r="E31" s="650">
        <f>SUM(D31+C31*D31)</f>
        <v>0</v>
      </c>
      <c r="F31" s="249">
        <v>0</v>
      </c>
      <c r="G31" s="241">
        <f>ROUND(E31*F31,2)</f>
        <v>0</v>
      </c>
      <c r="H31" s="238"/>
    </row>
    <row r="32" spans="1:8" ht="15.75" x14ac:dyDescent="0.25">
      <c r="A32" s="214" t="s">
        <v>633</v>
      </c>
      <c r="B32" s="225" t="s">
        <v>13</v>
      </c>
      <c r="C32" s="223">
        <v>0</v>
      </c>
      <c r="D32" s="203">
        <v>0</v>
      </c>
      <c r="E32" s="650">
        <f t="shared" ref="E32:E33" si="2">SUM(D32+C32*D32)</f>
        <v>0</v>
      </c>
      <c r="F32" s="249">
        <v>0</v>
      </c>
      <c r="G32" s="241">
        <f>ROUND(E32*F32,2)</f>
        <v>0</v>
      </c>
      <c r="H32" s="238"/>
    </row>
    <row r="33" spans="1:8" ht="16.5" thickBot="1" x14ac:dyDescent="0.3">
      <c r="A33" s="214" t="s">
        <v>627</v>
      </c>
      <c r="B33" s="225" t="s">
        <v>13</v>
      </c>
      <c r="C33" s="223">
        <v>0</v>
      </c>
      <c r="D33" s="663">
        <v>0</v>
      </c>
      <c r="E33" s="666">
        <f t="shared" si="2"/>
        <v>0</v>
      </c>
      <c r="F33" s="667">
        <v>0</v>
      </c>
      <c r="G33" s="668">
        <f>ROUND(E33*F33,2)</f>
        <v>0</v>
      </c>
      <c r="H33" s="238"/>
    </row>
    <row r="34" spans="1:8" ht="17.25" thickTop="1" thickBot="1" x14ac:dyDescent="0.25">
      <c r="A34" s="1380"/>
      <c r="B34" s="1380"/>
      <c r="C34" s="1380"/>
      <c r="D34" s="1381"/>
      <c r="E34" s="1383" t="s">
        <v>617</v>
      </c>
      <c r="F34" s="1380"/>
      <c r="G34" s="1381"/>
      <c r="H34" s="248">
        <f>SUM(G30:G33)</f>
        <v>0</v>
      </c>
    </row>
    <row r="35" spans="1:8" ht="16.5" thickTop="1" x14ac:dyDescent="0.25">
      <c r="A35" s="218" t="s">
        <v>193</v>
      </c>
      <c r="B35" s="219" t="s">
        <v>86</v>
      </c>
      <c r="C35" s="219"/>
      <c r="D35" s="220">
        <v>0</v>
      </c>
      <c r="E35" s="220"/>
      <c r="F35" s="220">
        <v>16.5</v>
      </c>
      <c r="G35" s="234">
        <f>ROUND(D35*F35,2)</f>
        <v>0</v>
      </c>
      <c r="H35" s="660"/>
    </row>
    <row r="36" spans="1:8" ht="16.5" thickBot="1" x14ac:dyDescent="0.3">
      <c r="A36" s="215" t="s">
        <v>618</v>
      </c>
      <c r="B36" s="216" t="s">
        <v>3</v>
      </c>
      <c r="C36" s="216"/>
      <c r="D36" s="221">
        <v>1</v>
      </c>
      <c r="E36" s="221"/>
      <c r="F36" s="221">
        <v>0</v>
      </c>
      <c r="G36" s="235">
        <f>ROUND(D36*F36,2)</f>
        <v>0</v>
      </c>
      <c r="H36" s="661"/>
    </row>
    <row r="37" spans="1:8" ht="17.25" customHeight="1" thickTop="1" thickBot="1" x14ac:dyDescent="0.3">
      <c r="A37" s="204"/>
      <c r="B37" s="204"/>
      <c r="C37" s="204"/>
      <c r="D37" s="204"/>
      <c r="E37" s="1387" t="s">
        <v>619</v>
      </c>
      <c r="F37" s="1388"/>
      <c r="G37" s="1389"/>
      <c r="H37" s="247">
        <f>SUM(G35:G36)</f>
        <v>0</v>
      </c>
    </row>
    <row r="38" spans="1:8" ht="17.25" customHeight="1" thickTop="1" thickBot="1" x14ac:dyDescent="0.3">
      <c r="A38" s="204"/>
      <c r="B38" s="204"/>
      <c r="C38" s="204"/>
      <c r="D38" s="204"/>
      <c r="E38" s="1384" t="s">
        <v>626</v>
      </c>
      <c r="F38" s="1385"/>
      <c r="G38" s="1386"/>
      <c r="H38" s="247">
        <f>SUM(H37,H34)</f>
        <v>0</v>
      </c>
    </row>
    <row r="39" spans="1:8" ht="15.75" thickTop="1" x14ac:dyDescent="0.2"/>
  </sheetData>
  <mergeCells count="16">
    <mergeCell ref="E38:G38"/>
    <mergeCell ref="E13:G13"/>
    <mergeCell ref="E14:G14"/>
    <mergeCell ref="E22:G22"/>
    <mergeCell ref="E25:G25"/>
    <mergeCell ref="E26:G26"/>
    <mergeCell ref="E37:G37"/>
    <mergeCell ref="A4:H4"/>
    <mergeCell ref="A10:D10"/>
    <mergeCell ref="E10:G10"/>
    <mergeCell ref="B1:F1"/>
    <mergeCell ref="A34:D34"/>
    <mergeCell ref="A16:H16"/>
    <mergeCell ref="A28:H28"/>
    <mergeCell ref="A22:D22"/>
    <mergeCell ref="E34:G34"/>
  </mergeCells>
  <pageMargins left="0.25" right="0.25" top="0.75" bottom="0.75" header="0.3" footer="0.3"/>
  <pageSetup paperSize="9" orientation="portrait" r:id="rId1"/>
  <headerFooter>
    <oddHeader>&amp;LEL RHALMANI OUSSAMA&amp;C&amp;"Calibri,Gras"&amp;20FABRICATION DES BETONS&amp;RTS 424 EP</oddHead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FBFDC64D-4EEB-4413-A95F-35A2573647F4}">
          <x14:formula1>
            <xm:f>Notes!$B$3:$B$13</xm:f>
          </x14:formula1>
          <xm:sqref>B6:B9 B18:B21 B30:B33 B11:B12 B23:B24 B35:B36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DEC56-ED83-4BB0-B581-F8D022A2BB57}">
  <dimension ref="A1:H29"/>
  <sheetViews>
    <sheetView view="pageLayout" zoomScaleNormal="100" workbookViewId="0">
      <selection activeCell="B29" sqref="B29"/>
    </sheetView>
  </sheetViews>
  <sheetFormatPr baseColWidth="10" defaultColWidth="11.42578125" defaultRowHeight="15" x14ac:dyDescent="0.2"/>
  <cols>
    <col min="1" max="1" width="23.7109375" style="98" customWidth="1"/>
    <col min="2" max="2" width="4.5703125" style="98" customWidth="1"/>
    <col min="3" max="3" width="7.42578125" style="98" customWidth="1"/>
    <col min="4" max="7" width="12.140625" style="98" customWidth="1"/>
    <col min="8" max="8" width="14.42578125" style="98" customWidth="1"/>
    <col min="9" max="256" width="11.42578125" style="98"/>
    <col min="257" max="257" width="0.5703125" style="98" customWidth="1"/>
    <col min="258" max="258" width="23.7109375" style="98" customWidth="1"/>
    <col min="259" max="259" width="7" style="98" customWidth="1"/>
    <col min="260" max="260" width="13.42578125" style="98" customWidth="1"/>
    <col min="261" max="262" width="15.5703125" style="98" customWidth="1"/>
    <col min="263" max="263" width="16.28515625" style="98" customWidth="1"/>
    <col min="264" max="264" width="0.85546875" style="98" customWidth="1"/>
    <col min="265" max="512" width="11.42578125" style="98"/>
    <col min="513" max="513" width="0.5703125" style="98" customWidth="1"/>
    <col min="514" max="514" width="23.7109375" style="98" customWidth="1"/>
    <col min="515" max="515" width="7" style="98" customWidth="1"/>
    <col min="516" max="516" width="13.42578125" style="98" customWidth="1"/>
    <col min="517" max="518" width="15.5703125" style="98" customWidth="1"/>
    <col min="519" max="519" width="16.28515625" style="98" customWidth="1"/>
    <col min="520" max="520" width="0.85546875" style="98" customWidth="1"/>
    <col min="521" max="768" width="11.42578125" style="98"/>
    <col min="769" max="769" width="0.5703125" style="98" customWidth="1"/>
    <col min="770" max="770" width="23.7109375" style="98" customWidth="1"/>
    <col min="771" max="771" width="7" style="98" customWidth="1"/>
    <col min="772" max="772" width="13.42578125" style="98" customWidth="1"/>
    <col min="773" max="774" width="15.5703125" style="98" customWidth="1"/>
    <col min="775" max="775" width="16.28515625" style="98" customWidth="1"/>
    <col min="776" max="776" width="0.85546875" style="98" customWidth="1"/>
    <col min="777" max="1024" width="11.42578125" style="98"/>
    <col min="1025" max="1025" width="0.5703125" style="98" customWidth="1"/>
    <col min="1026" max="1026" width="23.7109375" style="98" customWidth="1"/>
    <col min="1027" max="1027" width="7" style="98" customWidth="1"/>
    <col min="1028" max="1028" width="13.42578125" style="98" customWidth="1"/>
    <col min="1029" max="1030" width="15.5703125" style="98" customWidth="1"/>
    <col min="1031" max="1031" width="16.28515625" style="98" customWidth="1"/>
    <col min="1032" max="1032" width="0.85546875" style="98" customWidth="1"/>
    <col min="1033" max="1280" width="11.42578125" style="98"/>
    <col min="1281" max="1281" width="0.5703125" style="98" customWidth="1"/>
    <col min="1282" max="1282" width="23.7109375" style="98" customWidth="1"/>
    <col min="1283" max="1283" width="7" style="98" customWidth="1"/>
    <col min="1284" max="1284" width="13.42578125" style="98" customWidth="1"/>
    <col min="1285" max="1286" width="15.5703125" style="98" customWidth="1"/>
    <col min="1287" max="1287" width="16.28515625" style="98" customWidth="1"/>
    <col min="1288" max="1288" width="0.85546875" style="98" customWidth="1"/>
    <col min="1289" max="1536" width="11.42578125" style="98"/>
    <col min="1537" max="1537" width="0.5703125" style="98" customWidth="1"/>
    <col min="1538" max="1538" width="23.7109375" style="98" customWidth="1"/>
    <col min="1539" max="1539" width="7" style="98" customWidth="1"/>
    <col min="1540" max="1540" width="13.42578125" style="98" customWidth="1"/>
    <col min="1541" max="1542" width="15.5703125" style="98" customWidth="1"/>
    <col min="1543" max="1543" width="16.28515625" style="98" customWidth="1"/>
    <col min="1544" max="1544" width="0.85546875" style="98" customWidth="1"/>
    <col min="1545" max="1792" width="11.42578125" style="98"/>
    <col min="1793" max="1793" width="0.5703125" style="98" customWidth="1"/>
    <col min="1794" max="1794" width="23.7109375" style="98" customWidth="1"/>
    <col min="1795" max="1795" width="7" style="98" customWidth="1"/>
    <col min="1796" max="1796" width="13.42578125" style="98" customWidth="1"/>
    <col min="1797" max="1798" width="15.5703125" style="98" customWidth="1"/>
    <col min="1799" max="1799" width="16.28515625" style="98" customWidth="1"/>
    <col min="1800" max="1800" width="0.85546875" style="98" customWidth="1"/>
    <col min="1801" max="2048" width="11.42578125" style="98"/>
    <col min="2049" max="2049" width="0.5703125" style="98" customWidth="1"/>
    <col min="2050" max="2050" width="23.7109375" style="98" customWidth="1"/>
    <col min="2051" max="2051" width="7" style="98" customWidth="1"/>
    <col min="2052" max="2052" width="13.42578125" style="98" customWidth="1"/>
    <col min="2053" max="2054" width="15.5703125" style="98" customWidth="1"/>
    <col min="2055" max="2055" width="16.28515625" style="98" customWidth="1"/>
    <col min="2056" max="2056" width="0.85546875" style="98" customWidth="1"/>
    <col min="2057" max="2304" width="11.42578125" style="98"/>
    <col min="2305" max="2305" width="0.5703125" style="98" customWidth="1"/>
    <col min="2306" max="2306" width="23.7109375" style="98" customWidth="1"/>
    <col min="2307" max="2307" width="7" style="98" customWidth="1"/>
    <col min="2308" max="2308" width="13.42578125" style="98" customWidth="1"/>
    <col min="2309" max="2310" width="15.5703125" style="98" customWidth="1"/>
    <col min="2311" max="2311" width="16.28515625" style="98" customWidth="1"/>
    <col min="2312" max="2312" width="0.85546875" style="98" customWidth="1"/>
    <col min="2313" max="2560" width="11.42578125" style="98"/>
    <col min="2561" max="2561" width="0.5703125" style="98" customWidth="1"/>
    <col min="2562" max="2562" width="23.7109375" style="98" customWidth="1"/>
    <col min="2563" max="2563" width="7" style="98" customWidth="1"/>
    <col min="2564" max="2564" width="13.42578125" style="98" customWidth="1"/>
    <col min="2565" max="2566" width="15.5703125" style="98" customWidth="1"/>
    <col min="2567" max="2567" width="16.28515625" style="98" customWidth="1"/>
    <col min="2568" max="2568" width="0.85546875" style="98" customWidth="1"/>
    <col min="2569" max="2816" width="11.42578125" style="98"/>
    <col min="2817" max="2817" width="0.5703125" style="98" customWidth="1"/>
    <col min="2818" max="2818" width="23.7109375" style="98" customWidth="1"/>
    <col min="2819" max="2819" width="7" style="98" customWidth="1"/>
    <col min="2820" max="2820" width="13.42578125" style="98" customWidth="1"/>
    <col min="2821" max="2822" width="15.5703125" style="98" customWidth="1"/>
    <col min="2823" max="2823" width="16.28515625" style="98" customWidth="1"/>
    <col min="2824" max="2824" width="0.85546875" style="98" customWidth="1"/>
    <col min="2825" max="3072" width="11.42578125" style="98"/>
    <col min="3073" max="3073" width="0.5703125" style="98" customWidth="1"/>
    <col min="3074" max="3074" width="23.7109375" style="98" customWidth="1"/>
    <col min="3075" max="3075" width="7" style="98" customWidth="1"/>
    <col min="3076" max="3076" width="13.42578125" style="98" customWidth="1"/>
    <col min="3077" max="3078" width="15.5703125" style="98" customWidth="1"/>
    <col min="3079" max="3079" width="16.28515625" style="98" customWidth="1"/>
    <col min="3080" max="3080" width="0.85546875" style="98" customWidth="1"/>
    <col min="3081" max="3328" width="11.42578125" style="98"/>
    <col min="3329" max="3329" width="0.5703125" style="98" customWidth="1"/>
    <col min="3330" max="3330" width="23.7109375" style="98" customWidth="1"/>
    <col min="3331" max="3331" width="7" style="98" customWidth="1"/>
    <col min="3332" max="3332" width="13.42578125" style="98" customWidth="1"/>
    <col min="3333" max="3334" width="15.5703125" style="98" customWidth="1"/>
    <col min="3335" max="3335" width="16.28515625" style="98" customWidth="1"/>
    <col min="3336" max="3336" width="0.85546875" style="98" customWidth="1"/>
    <col min="3337" max="3584" width="11.42578125" style="98"/>
    <col min="3585" max="3585" width="0.5703125" style="98" customWidth="1"/>
    <col min="3586" max="3586" width="23.7109375" style="98" customWidth="1"/>
    <col min="3587" max="3587" width="7" style="98" customWidth="1"/>
    <col min="3588" max="3588" width="13.42578125" style="98" customWidth="1"/>
    <col min="3589" max="3590" width="15.5703125" style="98" customWidth="1"/>
    <col min="3591" max="3591" width="16.28515625" style="98" customWidth="1"/>
    <col min="3592" max="3592" width="0.85546875" style="98" customWidth="1"/>
    <col min="3593" max="3840" width="11.42578125" style="98"/>
    <col min="3841" max="3841" width="0.5703125" style="98" customWidth="1"/>
    <col min="3842" max="3842" width="23.7109375" style="98" customWidth="1"/>
    <col min="3843" max="3843" width="7" style="98" customWidth="1"/>
    <col min="3844" max="3844" width="13.42578125" style="98" customWidth="1"/>
    <col min="3845" max="3846" width="15.5703125" style="98" customWidth="1"/>
    <col min="3847" max="3847" width="16.28515625" style="98" customWidth="1"/>
    <col min="3848" max="3848" width="0.85546875" style="98" customWidth="1"/>
    <col min="3849" max="4096" width="11.42578125" style="98"/>
    <col min="4097" max="4097" width="0.5703125" style="98" customWidth="1"/>
    <col min="4098" max="4098" width="23.7109375" style="98" customWidth="1"/>
    <col min="4099" max="4099" width="7" style="98" customWidth="1"/>
    <col min="4100" max="4100" width="13.42578125" style="98" customWidth="1"/>
    <col min="4101" max="4102" width="15.5703125" style="98" customWidth="1"/>
    <col min="4103" max="4103" width="16.28515625" style="98" customWidth="1"/>
    <col min="4104" max="4104" width="0.85546875" style="98" customWidth="1"/>
    <col min="4105" max="4352" width="11.42578125" style="98"/>
    <col min="4353" max="4353" width="0.5703125" style="98" customWidth="1"/>
    <col min="4354" max="4354" width="23.7109375" style="98" customWidth="1"/>
    <col min="4355" max="4355" width="7" style="98" customWidth="1"/>
    <col min="4356" max="4356" width="13.42578125" style="98" customWidth="1"/>
    <col min="4357" max="4358" width="15.5703125" style="98" customWidth="1"/>
    <col min="4359" max="4359" width="16.28515625" style="98" customWidth="1"/>
    <col min="4360" max="4360" width="0.85546875" style="98" customWidth="1"/>
    <col min="4361" max="4608" width="11.42578125" style="98"/>
    <col min="4609" max="4609" width="0.5703125" style="98" customWidth="1"/>
    <col min="4610" max="4610" width="23.7109375" style="98" customWidth="1"/>
    <col min="4611" max="4611" width="7" style="98" customWidth="1"/>
    <col min="4612" max="4612" width="13.42578125" style="98" customWidth="1"/>
    <col min="4613" max="4614" width="15.5703125" style="98" customWidth="1"/>
    <col min="4615" max="4615" width="16.28515625" style="98" customWidth="1"/>
    <col min="4616" max="4616" width="0.85546875" style="98" customWidth="1"/>
    <col min="4617" max="4864" width="11.42578125" style="98"/>
    <col min="4865" max="4865" width="0.5703125" style="98" customWidth="1"/>
    <col min="4866" max="4866" width="23.7109375" style="98" customWidth="1"/>
    <col min="4867" max="4867" width="7" style="98" customWidth="1"/>
    <col min="4868" max="4868" width="13.42578125" style="98" customWidth="1"/>
    <col min="4869" max="4870" width="15.5703125" style="98" customWidth="1"/>
    <col min="4871" max="4871" width="16.28515625" style="98" customWidth="1"/>
    <col min="4872" max="4872" width="0.85546875" style="98" customWidth="1"/>
    <col min="4873" max="5120" width="11.42578125" style="98"/>
    <col min="5121" max="5121" width="0.5703125" style="98" customWidth="1"/>
    <col min="5122" max="5122" width="23.7109375" style="98" customWidth="1"/>
    <col min="5123" max="5123" width="7" style="98" customWidth="1"/>
    <col min="5124" max="5124" width="13.42578125" style="98" customWidth="1"/>
    <col min="5125" max="5126" width="15.5703125" style="98" customWidth="1"/>
    <col min="5127" max="5127" width="16.28515625" style="98" customWidth="1"/>
    <col min="5128" max="5128" width="0.85546875" style="98" customWidth="1"/>
    <col min="5129" max="5376" width="11.42578125" style="98"/>
    <col min="5377" max="5377" width="0.5703125" style="98" customWidth="1"/>
    <col min="5378" max="5378" width="23.7109375" style="98" customWidth="1"/>
    <col min="5379" max="5379" width="7" style="98" customWidth="1"/>
    <col min="5380" max="5380" width="13.42578125" style="98" customWidth="1"/>
    <col min="5381" max="5382" width="15.5703125" style="98" customWidth="1"/>
    <col min="5383" max="5383" width="16.28515625" style="98" customWidth="1"/>
    <col min="5384" max="5384" width="0.85546875" style="98" customWidth="1"/>
    <col min="5385" max="5632" width="11.42578125" style="98"/>
    <col min="5633" max="5633" width="0.5703125" style="98" customWidth="1"/>
    <col min="5634" max="5634" width="23.7109375" style="98" customWidth="1"/>
    <col min="5635" max="5635" width="7" style="98" customWidth="1"/>
    <col min="5636" max="5636" width="13.42578125" style="98" customWidth="1"/>
    <col min="5637" max="5638" width="15.5703125" style="98" customWidth="1"/>
    <col min="5639" max="5639" width="16.28515625" style="98" customWidth="1"/>
    <col min="5640" max="5640" width="0.85546875" style="98" customWidth="1"/>
    <col min="5641" max="5888" width="11.42578125" style="98"/>
    <col min="5889" max="5889" width="0.5703125" style="98" customWidth="1"/>
    <col min="5890" max="5890" width="23.7109375" style="98" customWidth="1"/>
    <col min="5891" max="5891" width="7" style="98" customWidth="1"/>
    <col min="5892" max="5892" width="13.42578125" style="98" customWidth="1"/>
    <col min="5893" max="5894" width="15.5703125" style="98" customWidth="1"/>
    <col min="5895" max="5895" width="16.28515625" style="98" customWidth="1"/>
    <col min="5896" max="5896" width="0.85546875" style="98" customWidth="1"/>
    <col min="5897" max="6144" width="11.42578125" style="98"/>
    <col min="6145" max="6145" width="0.5703125" style="98" customWidth="1"/>
    <col min="6146" max="6146" width="23.7109375" style="98" customWidth="1"/>
    <col min="6147" max="6147" width="7" style="98" customWidth="1"/>
    <col min="6148" max="6148" width="13.42578125" style="98" customWidth="1"/>
    <col min="6149" max="6150" width="15.5703125" style="98" customWidth="1"/>
    <col min="6151" max="6151" width="16.28515625" style="98" customWidth="1"/>
    <col min="6152" max="6152" width="0.85546875" style="98" customWidth="1"/>
    <col min="6153" max="6400" width="11.42578125" style="98"/>
    <col min="6401" max="6401" width="0.5703125" style="98" customWidth="1"/>
    <col min="6402" max="6402" width="23.7109375" style="98" customWidth="1"/>
    <col min="6403" max="6403" width="7" style="98" customWidth="1"/>
    <col min="6404" max="6404" width="13.42578125" style="98" customWidth="1"/>
    <col min="6405" max="6406" width="15.5703125" style="98" customWidth="1"/>
    <col min="6407" max="6407" width="16.28515625" style="98" customWidth="1"/>
    <col min="6408" max="6408" width="0.85546875" style="98" customWidth="1"/>
    <col min="6409" max="6656" width="11.42578125" style="98"/>
    <col min="6657" max="6657" width="0.5703125" style="98" customWidth="1"/>
    <col min="6658" max="6658" width="23.7109375" style="98" customWidth="1"/>
    <col min="6659" max="6659" width="7" style="98" customWidth="1"/>
    <col min="6660" max="6660" width="13.42578125" style="98" customWidth="1"/>
    <col min="6661" max="6662" width="15.5703125" style="98" customWidth="1"/>
    <col min="6663" max="6663" width="16.28515625" style="98" customWidth="1"/>
    <col min="6664" max="6664" width="0.85546875" style="98" customWidth="1"/>
    <col min="6665" max="6912" width="11.42578125" style="98"/>
    <col min="6913" max="6913" width="0.5703125" style="98" customWidth="1"/>
    <col min="6914" max="6914" width="23.7109375" style="98" customWidth="1"/>
    <col min="6915" max="6915" width="7" style="98" customWidth="1"/>
    <col min="6916" max="6916" width="13.42578125" style="98" customWidth="1"/>
    <col min="6917" max="6918" width="15.5703125" style="98" customWidth="1"/>
    <col min="6919" max="6919" width="16.28515625" style="98" customWidth="1"/>
    <col min="6920" max="6920" width="0.85546875" style="98" customWidth="1"/>
    <col min="6921" max="7168" width="11.42578125" style="98"/>
    <col min="7169" max="7169" width="0.5703125" style="98" customWidth="1"/>
    <col min="7170" max="7170" width="23.7109375" style="98" customWidth="1"/>
    <col min="7171" max="7171" width="7" style="98" customWidth="1"/>
    <col min="7172" max="7172" width="13.42578125" style="98" customWidth="1"/>
    <col min="7173" max="7174" width="15.5703125" style="98" customWidth="1"/>
    <col min="7175" max="7175" width="16.28515625" style="98" customWidth="1"/>
    <col min="7176" max="7176" width="0.85546875" style="98" customWidth="1"/>
    <col min="7177" max="7424" width="11.42578125" style="98"/>
    <col min="7425" max="7425" width="0.5703125" style="98" customWidth="1"/>
    <col min="7426" max="7426" width="23.7109375" style="98" customWidth="1"/>
    <col min="7427" max="7427" width="7" style="98" customWidth="1"/>
    <col min="7428" max="7428" width="13.42578125" style="98" customWidth="1"/>
    <col min="7429" max="7430" width="15.5703125" style="98" customWidth="1"/>
    <col min="7431" max="7431" width="16.28515625" style="98" customWidth="1"/>
    <col min="7432" max="7432" width="0.85546875" style="98" customWidth="1"/>
    <col min="7433" max="7680" width="11.42578125" style="98"/>
    <col min="7681" max="7681" width="0.5703125" style="98" customWidth="1"/>
    <col min="7682" max="7682" width="23.7109375" style="98" customWidth="1"/>
    <col min="7683" max="7683" width="7" style="98" customWidth="1"/>
    <col min="7684" max="7684" width="13.42578125" style="98" customWidth="1"/>
    <col min="7685" max="7686" width="15.5703125" style="98" customWidth="1"/>
    <col min="7687" max="7687" width="16.28515625" style="98" customWidth="1"/>
    <col min="7688" max="7688" width="0.85546875" style="98" customWidth="1"/>
    <col min="7689" max="7936" width="11.42578125" style="98"/>
    <col min="7937" max="7937" width="0.5703125" style="98" customWidth="1"/>
    <col min="7938" max="7938" width="23.7109375" style="98" customWidth="1"/>
    <col min="7939" max="7939" width="7" style="98" customWidth="1"/>
    <col min="7940" max="7940" width="13.42578125" style="98" customWidth="1"/>
    <col min="7941" max="7942" width="15.5703125" style="98" customWidth="1"/>
    <col min="7943" max="7943" width="16.28515625" style="98" customWidth="1"/>
    <col min="7944" max="7944" width="0.85546875" style="98" customWidth="1"/>
    <col min="7945" max="8192" width="11.42578125" style="98"/>
    <col min="8193" max="8193" width="0.5703125" style="98" customWidth="1"/>
    <col min="8194" max="8194" width="23.7109375" style="98" customWidth="1"/>
    <col min="8195" max="8195" width="7" style="98" customWidth="1"/>
    <col min="8196" max="8196" width="13.42578125" style="98" customWidth="1"/>
    <col min="8197" max="8198" width="15.5703125" style="98" customWidth="1"/>
    <col min="8199" max="8199" width="16.28515625" style="98" customWidth="1"/>
    <col min="8200" max="8200" width="0.85546875" style="98" customWidth="1"/>
    <col min="8201" max="8448" width="11.42578125" style="98"/>
    <col min="8449" max="8449" width="0.5703125" style="98" customWidth="1"/>
    <col min="8450" max="8450" width="23.7109375" style="98" customWidth="1"/>
    <col min="8451" max="8451" width="7" style="98" customWidth="1"/>
    <col min="8452" max="8452" width="13.42578125" style="98" customWidth="1"/>
    <col min="8453" max="8454" width="15.5703125" style="98" customWidth="1"/>
    <col min="8455" max="8455" width="16.28515625" style="98" customWidth="1"/>
    <col min="8456" max="8456" width="0.85546875" style="98" customWidth="1"/>
    <col min="8457" max="8704" width="11.42578125" style="98"/>
    <col min="8705" max="8705" width="0.5703125" style="98" customWidth="1"/>
    <col min="8706" max="8706" width="23.7109375" style="98" customWidth="1"/>
    <col min="8707" max="8707" width="7" style="98" customWidth="1"/>
    <col min="8708" max="8708" width="13.42578125" style="98" customWidth="1"/>
    <col min="8709" max="8710" width="15.5703125" style="98" customWidth="1"/>
    <col min="8711" max="8711" width="16.28515625" style="98" customWidth="1"/>
    <col min="8712" max="8712" width="0.85546875" style="98" customWidth="1"/>
    <col min="8713" max="8960" width="11.42578125" style="98"/>
    <col min="8961" max="8961" width="0.5703125" style="98" customWidth="1"/>
    <col min="8962" max="8962" width="23.7109375" style="98" customWidth="1"/>
    <col min="8963" max="8963" width="7" style="98" customWidth="1"/>
    <col min="8964" max="8964" width="13.42578125" style="98" customWidth="1"/>
    <col min="8965" max="8966" width="15.5703125" style="98" customWidth="1"/>
    <col min="8967" max="8967" width="16.28515625" style="98" customWidth="1"/>
    <col min="8968" max="8968" width="0.85546875" style="98" customWidth="1"/>
    <col min="8969" max="9216" width="11.42578125" style="98"/>
    <col min="9217" max="9217" width="0.5703125" style="98" customWidth="1"/>
    <col min="9218" max="9218" width="23.7109375" style="98" customWidth="1"/>
    <col min="9219" max="9219" width="7" style="98" customWidth="1"/>
    <col min="9220" max="9220" width="13.42578125" style="98" customWidth="1"/>
    <col min="9221" max="9222" width="15.5703125" style="98" customWidth="1"/>
    <col min="9223" max="9223" width="16.28515625" style="98" customWidth="1"/>
    <col min="9224" max="9224" width="0.85546875" style="98" customWidth="1"/>
    <col min="9225" max="9472" width="11.42578125" style="98"/>
    <col min="9473" max="9473" width="0.5703125" style="98" customWidth="1"/>
    <col min="9474" max="9474" width="23.7109375" style="98" customWidth="1"/>
    <col min="9475" max="9475" width="7" style="98" customWidth="1"/>
    <col min="9476" max="9476" width="13.42578125" style="98" customWidth="1"/>
    <col min="9477" max="9478" width="15.5703125" style="98" customWidth="1"/>
    <col min="9479" max="9479" width="16.28515625" style="98" customWidth="1"/>
    <col min="9480" max="9480" width="0.85546875" style="98" customWidth="1"/>
    <col min="9481" max="9728" width="11.42578125" style="98"/>
    <col min="9729" max="9729" width="0.5703125" style="98" customWidth="1"/>
    <col min="9730" max="9730" width="23.7109375" style="98" customWidth="1"/>
    <col min="9731" max="9731" width="7" style="98" customWidth="1"/>
    <col min="9732" max="9732" width="13.42578125" style="98" customWidth="1"/>
    <col min="9733" max="9734" width="15.5703125" style="98" customWidth="1"/>
    <col min="9735" max="9735" width="16.28515625" style="98" customWidth="1"/>
    <col min="9736" max="9736" width="0.85546875" style="98" customWidth="1"/>
    <col min="9737" max="9984" width="11.42578125" style="98"/>
    <col min="9985" max="9985" width="0.5703125" style="98" customWidth="1"/>
    <col min="9986" max="9986" width="23.7109375" style="98" customWidth="1"/>
    <col min="9987" max="9987" width="7" style="98" customWidth="1"/>
    <col min="9988" max="9988" width="13.42578125" style="98" customWidth="1"/>
    <col min="9989" max="9990" width="15.5703125" style="98" customWidth="1"/>
    <col min="9991" max="9991" width="16.28515625" style="98" customWidth="1"/>
    <col min="9992" max="9992" width="0.85546875" style="98" customWidth="1"/>
    <col min="9993" max="10240" width="11.42578125" style="98"/>
    <col min="10241" max="10241" width="0.5703125" style="98" customWidth="1"/>
    <col min="10242" max="10242" width="23.7109375" style="98" customWidth="1"/>
    <col min="10243" max="10243" width="7" style="98" customWidth="1"/>
    <col min="10244" max="10244" width="13.42578125" style="98" customWidth="1"/>
    <col min="10245" max="10246" width="15.5703125" style="98" customWidth="1"/>
    <col min="10247" max="10247" width="16.28515625" style="98" customWidth="1"/>
    <col min="10248" max="10248" width="0.85546875" style="98" customWidth="1"/>
    <col min="10249" max="10496" width="11.42578125" style="98"/>
    <col min="10497" max="10497" width="0.5703125" style="98" customWidth="1"/>
    <col min="10498" max="10498" width="23.7109375" style="98" customWidth="1"/>
    <col min="10499" max="10499" width="7" style="98" customWidth="1"/>
    <col min="10500" max="10500" width="13.42578125" style="98" customWidth="1"/>
    <col min="10501" max="10502" width="15.5703125" style="98" customWidth="1"/>
    <col min="10503" max="10503" width="16.28515625" style="98" customWidth="1"/>
    <col min="10504" max="10504" width="0.85546875" style="98" customWidth="1"/>
    <col min="10505" max="10752" width="11.42578125" style="98"/>
    <col min="10753" max="10753" width="0.5703125" style="98" customWidth="1"/>
    <col min="10754" max="10754" width="23.7109375" style="98" customWidth="1"/>
    <col min="10755" max="10755" width="7" style="98" customWidth="1"/>
    <col min="10756" max="10756" width="13.42578125" style="98" customWidth="1"/>
    <col min="10757" max="10758" width="15.5703125" style="98" customWidth="1"/>
    <col min="10759" max="10759" width="16.28515625" style="98" customWidth="1"/>
    <col min="10760" max="10760" width="0.85546875" style="98" customWidth="1"/>
    <col min="10761" max="11008" width="11.42578125" style="98"/>
    <col min="11009" max="11009" width="0.5703125" style="98" customWidth="1"/>
    <col min="11010" max="11010" width="23.7109375" style="98" customWidth="1"/>
    <col min="11011" max="11011" width="7" style="98" customWidth="1"/>
    <col min="11012" max="11012" width="13.42578125" style="98" customWidth="1"/>
    <col min="11013" max="11014" width="15.5703125" style="98" customWidth="1"/>
    <col min="11015" max="11015" width="16.28515625" style="98" customWidth="1"/>
    <col min="11016" max="11016" width="0.85546875" style="98" customWidth="1"/>
    <col min="11017" max="11264" width="11.42578125" style="98"/>
    <col min="11265" max="11265" width="0.5703125" style="98" customWidth="1"/>
    <col min="11266" max="11266" width="23.7109375" style="98" customWidth="1"/>
    <col min="11267" max="11267" width="7" style="98" customWidth="1"/>
    <col min="11268" max="11268" width="13.42578125" style="98" customWidth="1"/>
    <col min="11269" max="11270" width="15.5703125" style="98" customWidth="1"/>
    <col min="11271" max="11271" width="16.28515625" style="98" customWidth="1"/>
    <col min="11272" max="11272" width="0.85546875" style="98" customWidth="1"/>
    <col min="11273" max="11520" width="11.42578125" style="98"/>
    <col min="11521" max="11521" width="0.5703125" style="98" customWidth="1"/>
    <col min="11522" max="11522" width="23.7109375" style="98" customWidth="1"/>
    <col min="11523" max="11523" width="7" style="98" customWidth="1"/>
    <col min="11524" max="11524" width="13.42578125" style="98" customWidth="1"/>
    <col min="11525" max="11526" width="15.5703125" style="98" customWidth="1"/>
    <col min="11527" max="11527" width="16.28515625" style="98" customWidth="1"/>
    <col min="11528" max="11528" width="0.85546875" style="98" customWidth="1"/>
    <col min="11529" max="11776" width="11.42578125" style="98"/>
    <col min="11777" max="11777" width="0.5703125" style="98" customWidth="1"/>
    <col min="11778" max="11778" width="23.7109375" style="98" customWidth="1"/>
    <col min="11779" max="11779" width="7" style="98" customWidth="1"/>
    <col min="11780" max="11780" width="13.42578125" style="98" customWidth="1"/>
    <col min="11781" max="11782" width="15.5703125" style="98" customWidth="1"/>
    <col min="11783" max="11783" width="16.28515625" style="98" customWidth="1"/>
    <col min="11784" max="11784" width="0.85546875" style="98" customWidth="1"/>
    <col min="11785" max="12032" width="11.42578125" style="98"/>
    <col min="12033" max="12033" width="0.5703125" style="98" customWidth="1"/>
    <col min="12034" max="12034" width="23.7109375" style="98" customWidth="1"/>
    <col min="12035" max="12035" width="7" style="98" customWidth="1"/>
    <col min="12036" max="12036" width="13.42578125" style="98" customWidth="1"/>
    <col min="12037" max="12038" width="15.5703125" style="98" customWidth="1"/>
    <col min="12039" max="12039" width="16.28515625" style="98" customWidth="1"/>
    <col min="12040" max="12040" width="0.85546875" style="98" customWidth="1"/>
    <col min="12041" max="12288" width="11.42578125" style="98"/>
    <col min="12289" max="12289" width="0.5703125" style="98" customWidth="1"/>
    <col min="12290" max="12290" width="23.7109375" style="98" customWidth="1"/>
    <col min="12291" max="12291" width="7" style="98" customWidth="1"/>
    <col min="12292" max="12292" width="13.42578125" style="98" customWidth="1"/>
    <col min="12293" max="12294" width="15.5703125" style="98" customWidth="1"/>
    <col min="12295" max="12295" width="16.28515625" style="98" customWidth="1"/>
    <col min="12296" max="12296" width="0.85546875" style="98" customWidth="1"/>
    <col min="12297" max="12544" width="11.42578125" style="98"/>
    <col min="12545" max="12545" width="0.5703125" style="98" customWidth="1"/>
    <col min="12546" max="12546" width="23.7109375" style="98" customWidth="1"/>
    <col min="12547" max="12547" width="7" style="98" customWidth="1"/>
    <col min="12548" max="12548" width="13.42578125" style="98" customWidth="1"/>
    <col min="12549" max="12550" width="15.5703125" style="98" customWidth="1"/>
    <col min="12551" max="12551" width="16.28515625" style="98" customWidth="1"/>
    <col min="12552" max="12552" width="0.85546875" style="98" customWidth="1"/>
    <col min="12553" max="12800" width="11.42578125" style="98"/>
    <col min="12801" max="12801" width="0.5703125" style="98" customWidth="1"/>
    <col min="12802" max="12802" width="23.7109375" style="98" customWidth="1"/>
    <col min="12803" max="12803" width="7" style="98" customWidth="1"/>
    <col min="12804" max="12804" width="13.42578125" style="98" customWidth="1"/>
    <col min="12805" max="12806" width="15.5703125" style="98" customWidth="1"/>
    <col min="12807" max="12807" width="16.28515625" style="98" customWidth="1"/>
    <col min="12808" max="12808" width="0.85546875" style="98" customWidth="1"/>
    <col min="12809" max="13056" width="11.42578125" style="98"/>
    <col min="13057" max="13057" width="0.5703125" style="98" customWidth="1"/>
    <col min="13058" max="13058" width="23.7109375" style="98" customWidth="1"/>
    <col min="13059" max="13059" width="7" style="98" customWidth="1"/>
    <col min="13060" max="13060" width="13.42578125" style="98" customWidth="1"/>
    <col min="13061" max="13062" width="15.5703125" style="98" customWidth="1"/>
    <col min="13063" max="13063" width="16.28515625" style="98" customWidth="1"/>
    <col min="13064" max="13064" width="0.85546875" style="98" customWidth="1"/>
    <col min="13065" max="13312" width="11.42578125" style="98"/>
    <col min="13313" max="13313" width="0.5703125" style="98" customWidth="1"/>
    <col min="13314" max="13314" width="23.7109375" style="98" customWidth="1"/>
    <col min="13315" max="13315" width="7" style="98" customWidth="1"/>
    <col min="13316" max="13316" width="13.42578125" style="98" customWidth="1"/>
    <col min="13317" max="13318" width="15.5703125" style="98" customWidth="1"/>
    <col min="13319" max="13319" width="16.28515625" style="98" customWidth="1"/>
    <col min="13320" max="13320" width="0.85546875" style="98" customWidth="1"/>
    <col min="13321" max="13568" width="11.42578125" style="98"/>
    <col min="13569" max="13569" width="0.5703125" style="98" customWidth="1"/>
    <col min="13570" max="13570" width="23.7109375" style="98" customWidth="1"/>
    <col min="13571" max="13571" width="7" style="98" customWidth="1"/>
    <col min="13572" max="13572" width="13.42578125" style="98" customWidth="1"/>
    <col min="13573" max="13574" width="15.5703125" style="98" customWidth="1"/>
    <col min="13575" max="13575" width="16.28515625" style="98" customWidth="1"/>
    <col min="13576" max="13576" width="0.85546875" style="98" customWidth="1"/>
    <col min="13577" max="13824" width="11.42578125" style="98"/>
    <col min="13825" max="13825" width="0.5703125" style="98" customWidth="1"/>
    <col min="13826" max="13826" width="23.7109375" style="98" customWidth="1"/>
    <col min="13827" max="13827" width="7" style="98" customWidth="1"/>
    <col min="13828" max="13828" width="13.42578125" style="98" customWidth="1"/>
    <col min="13829" max="13830" width="15.5703125" style="98" customWidth="1"/>
    <col min="13831" max="13831" width="16.28515625" style="98" customWidth="1"/>
    <col min="13832" max="13832" width="0.85546875" style="98" customWidth="1"/>
    <col min="13833" max="14080" width="11.42578125" style="98"/>
    <col min="14081" max="14081" width="0.5703125" style="98" customWidth="1"/>
    <col min="14082" max="14082" width="23.7109375" style="98" customWidth="1"/>
    <col min="14083" max="14083" width="7" style="98" customWidth="1"/>
    <col min="14084" max="14084" width="13.42578125" style="98" customWidth="1"/>
    <col min="14085" max="14086" width="15.5703125" style="98" customWidth="1"/>
    <col min="14087" max="14087" width="16.28515625" style="98" customWidth="1"/>
    <col min="14088" max="14088" width="0.85546875" style="98" customWidth="1"/>
    <col min="14089" max="14336" width="11.42578125" style="98"/>
    <col min="14337" max="14337" width="0.5703125" style="98" customWidth="1"/>
    <col min="14338" max="14338" width="23.7109375" style="98" customWidth="1"/>
    <col min="14339" max="14339" width="7" style="98" customWidth="1"/>
    <col min="14340" max="14340" width="13.42578125" style="98" customWidth="1"/>
    <col min="14341" max="14342" width="15.5703125" style="98" customWidth="1"/>
    <col min="14343" max="14343" width="16.28515625" style="98" customWidth="1"/>
    <col min="14344" max="14344" width="0.85546875" style="98" customWidth="1"/>
    <col min="14345" max="14592" width="11.42578125" style="98"/>
    <col min="14593" max="14593" width="0.5703125" style="98" customWidth="1"/>
    <col min="14594" max="14594" width="23.7109375" style="98" customWidth="1"/>
    <col min="14595" max="14595" width="7" style="98" customWidth="1"/>
    <col min="14596" max="14596" width="13.42578125" style="98" customWidth="1"/>
    <col min="14597" max="14598" width="15.5703125" style="98" customWidth="1"/>
    <col min="14599" max="14599" width="16.28515625" style="98" customWidth="1"/>
    <col min="14600" max="14600" width="0.85546875" style="98" customWidth="1"/>
    <col min="14601" max="14848" width="11.42578125" style="98"/>
    <col min="14849" max="14849" width="0.5703125" style="98" customWidth="1"/>
    <col min="14850" max="14850" width="23.7109375" style="98" customWidth="1"/>
    <col min="14851" max="14851" width="7" style="98" customWidth="1"/>
    <col min="14852" max="14852" width="13.42578125" style="98" customWidth="1"/>
    <col min="14853" max="14854" width="15.5703125" style="98" customWidth="1"/>
    <col min="14855" max="14855" width="16.28515625" style="98" customWidth="1"/>
    <col min="14856" max="14856" width="0.85546875" style="98" customWidth="1"/>
    <col min="14857" max="15104" width="11.42578125" style="98"/>
    <col min="15105" max="15105" width="0.5703125" style="98" customWidth="1"/>
    <col min="15106" max="15106" width="23.7109375" style="98" customWidth="1"/>
    <col min="15107" max="15107" width="7" style="98" customWidth="1"/>
    <col min="15108" max="15108" width="13.42578125" style="98" customWidth="1"/>
    <col min="15109" max="15110" width="15.5703125" style="98" customWidth="1"/>
    <col min="15111" max="15111" width="16.28515625" style="98" customWidth="1"/>
    <col min="15112" max="15112" width="0.85546875" style="98" customWidth="1"/>
    <col min="15113" max="15360" width="11.42578125" style="98"/>
    <col min="15361" max="15361" width="0.5703125" style="98" customWidth="1"/>
    <col min="15362" max="15362" width="23.7109375" style="98" customWidth="1"/>
    <col min="15363" max="15363" width="7" style="98" customWidth="1"/>
    <col min="15364" max="15364" width="13.42578125" style="98" customWidth="1"/>
    <col min="15365" max="15366" width="15.5703125" style="98" customWidth="1"/>
    <col min="15367" max="15367" width="16.28515625" style="98" customWidth="1"/>
    <col min="15368" max="15368" width="0.85546875" style="98" customWidth="1"/>
    <col min="15369" max="15616" width="11.42578125" style="98"/>
    <col min="15617" max="15617" width="0.5703125" style="98" customWidth="1"/>
    <col min="15618" max="15618" width="23.7109375" style="98" customWidth="1"/>
    <col min="15619" max="15619" width="7" style="98" customWidth="1"/>
    <col min="15620" max="15620" width="13.42578125" style="98" customWidth="1"/>
    <col min="15621" max="15622" width="15.5703125" style="98" customWidth="1"/>
    <col min="15623" max="15623" width="16.28515625" style="98" customWidth="1"/>
    <col min="15624" max="15624" width="0.85546875" style="98" customWidth="1"/>
    <col min="15625" max="15872" width="11.42578125" style="98"/>
    <col min="15873" max="15873" width="0.5703125" style="98" customWidth="1"/>
    <col min="15874" max="15874" width="23.7109375" style="98" customWidth="1"/>
    <col min="15875" max="15875" width="7" style="98" customWidth="1"/>
    <col min="15876" max="15876" width="13.42578125" style="98" customWidth="1"/>
    <col min="15877" max="15878" width="15.5703125" style="98" customWidth="1"/>
    <col min="15879" max="15879" width="16.28515625" style="98" customWidth="1"/>
    <col min="15880" max="15880" width="0.85546875" style="98" customWidth="1"/>
    <col min="15881" max="16128" width="11.42578125" style="98"/>
    <col min="16129" max="16129" width="0.5703125" style="98" customWidth="1"/>
    <col min="16130" max="16130" width="23.7109375" style="98" customWidth="1"/>
    <col min="16131" max="16131" width="7" style="98" customWidth="1"/>
    <col min="16132" max="16132" width="13.42578125" style="98" customWidth="1"/>
    <col min="16133" max="16134" width="15.5703125" style="98" customWidth="1"/>
    <col min="16135" max="16135" width="16.28515625" style="98" customWidth="1"/>
    <col min="16136" max="16136" width="0.85546875" style="98" customWidth="1"/>
    <col min="16137" max="16384" width="11.42578125" style="98"/>
  </cols>
  <sheetData>
    <row r="1" spans="1:8" ht="24" customHeight="1" thickTop="1" thickBot="1" x14ac:dyDescent="0.25">
      <c r="A1" s="692" t="s">
        <v>523</v>
      </c>
      <c r="B1" s="1378" t="s">
        <v>1293</v>
      </c>
      <c r="C1" s="1378"/>
      <c r="D1" s="1378"/>
      <c r="E1" s="1378"/>
      <c r="F1" s="1379"/>
      <c r="G1" s="212" t="s">
        <v>57</v>
      </c>
      <c r="H1" s="213">
        <f ca="1">TODAY()</f>
        <v>46093</v>
      </c>
    </row>
    <row r="2" spans="1:8" ht="12.75" customHeight="1" thickTop="1" thickBot="1" x14ac:dyDescent="0.25"/>
    <row r="3" spans="1:8" ht="19.5" customHeight="1" thickTop="1" thickBot="1" x14ac:dyDescent="0.25">
      <c r="A3" s="1373" t="s">
        <v>1274</v>
      </c>
      <c r="B3" s="1375"/>
      <c r="C3" s="1375"/>
      <c r="D3" s="1375"/>
      <c r="E3" s="1375"/>
      <c r="F3" s="1375"/>
      <c r="G3" s="1375"/>
      <c r="H3" s="1374"/>
    </row>
    <row r="4" spans="1:8" ht="33" thickTop="1" thickBot="1" x14ac:dyDescent="0.25">
      <c r="A4" s="227" t="s">
        <v>612</v>
      </c>
      <c r="B4" s="8" t="s">
        <v>3</v>
      </c>
      <c r="C4" s="8" t="s">
        <v>622</v>
      </c>
      <c r="D4" s="8" t="s">
        <v>334</v>
      </c>
      <c r="E4" s="662" t="s">
        <v>1107</v>
      </c>
      <c r="F4" s="8" t="s">
        <v>613</v>
      </c>
      <c r="G4" s="8" t="s">
        <v>614</v>
      </c>
      <c r="H4" s="7" t="s">
        <v>615</v>
      </c>
    </row>
    <row r="5" spans="1:8" ht="19.5" customHeight="1" thickTop="1" x14ac:dyDescent="0.25">
      <c r="A5" s="214" t="s">
        <v>1294</v>
      </c>
      <c r="B5" s="225" t="s">
        <v>290</v>
      </c>
      <c r="C5" s="223">
        <v>0.1</v>
      </c>
      <c r="D5" s="665">
        <v>1.2</v>
      </c>
      <c r="E5" s="906">
        <f>SUM(D5+C5*D5)</f>
        <v>1.3199999999999998</v>
      </c>
      <c r="F5" s="250">
        <v>16.5</v>
      </c>
      <c r="G5" s="251">
        <f t="shared" ref="G5:G8" si="0">F5*E5</f>
        <v>21.779999999999998</v>
      </c>
      <c r="H5" s="242"/>
    </row>
    <row r="6" spans="1:8" ht="19.5" customHeight="1" x14ac:dyDescent="0.25">
      <c r="A6" s="214" t="s">
        <v>625</v>
      </c>
      <c r="B6" s="225" t="s">
        <v>14</v>
      </c>
      <c r="C6" s="223">
        <v>0.1</v>
      </c>
      <c r="D6" s="203">
        <v>150</v>
      </c>
      <c r="E6" s="650">
        <f>SUM(D6+C6*D6)</f>
        <v>165</v>
      </c>
      <c r="F6" s="249">
        <v>0.42</v>
      </c>
      <c r="G6" s="252">
        <f t="shared" si="0"/>
        <v>69.3</v>
      </c>
      <c r="H6" s="243"/>
    </row>
    <row r="7" spans="1:8" ht="19.5" customHeight="1" x14ac:dyDescent="0.25">
      <c r="A7" s="214" t="s">
        <v>624</v>
      </c>
      <c r="B7" s="225" t="s">
        <v>14</v>
      </c>
      <c r="C7" s="223">
        <v>0.1</v>
      </c>
      <c r="D7" s="203">
        <v>150</v>
      </c>
      <c r="E7" s="650">
        <f t="shared" ref="E7:E8" si="1">SUM(D7+C7*D7)</f>
        <v>165</v>
      </c>
      <c r="F7" s="249">
        <v>0.38</v>
      </c>
      <c r="G7" s="252">
        <f t="shared" si="0"/>
        <v>62.7</v>
      </c>
      <c r="H7" s="243"/>
    </row>
    <row r="8" spans="1:8" ht="19.5" customHeight="1" thickBot="1" x14ac:dyDescent="0.3">
      <c r="A8" s="215"/>
      <c r="B8" s="239"/>
      <c r="C8" s="223">
        <v>0</v>
      </c>
      <c r="D8" s="663">
        <v>0</v>
      </c>
      <c r="E8" s="650">
        <f t="shared" si="1"/>
        <v>0</v>
      </c>
      <c r="F8" s="253">
        <v>0</v>
      </c>
      <c r="G8" s="664">
        <f t="shared" si="0"/>
        <v>0</v>
      </c>
      <c r="H8" s="243"/>
    </row>
    <row r="9" spans="1:8" ht="17.25" thickTop="1" thickBot="1" x14ac:dyDescent="0.25">
      <c r="A9" s="1380"/>
      <c r="B9" s="1380"/>
      <c r="C9" s="1380"/>
      <c r="D9" s="1380"/>
      <c r="E9" s="1381"/>
      <c r="F9" s="1390" t="s">
        <v>617</v>
      </c>
      <c r="G9" s="1377"/>
      <c r="H9" s="248">
        <f>SUM(G5:G8)</f>
        <v>153.78</v>
      </c>
    </row>
    <row r="10" spans="1:8" ht="16.5" thickTop="1" x14ac:dyDescent="0.25">
      <c r="A10" s="218" t="s">
        <v>193</v>
      </c>
      <c r="B10" s="219" t="s">
        <v>86</v>
      </c>
      <c r="C10" s="219"/>
      <c r="D10" s="220">
        <v>1.58</v>
      </c>
      <c r="E10" s="220"/>
      <c r="F10" s="220">
        <v>24.3</v>
      </c>
      <c r="G10" s="234">
        <f>ROUND(D10*F10,2)</f>
        <v>38.39</v>
      </c>
      <c r="H10" s="660"/>
    </row>
    <row r="11" spans="1:8" ht="16.5" thickBot="1" x14ac:dyDescent="0.3">
      <c r="A11" s="215" t="s">
        <v>618</v>
      </c>
      <c r="B11" s="216" t="s">
        <v>3</v>
      </c>
      <c r="C11" s="216"/>
      <c r="D11" s="221">
        <v>0</v>
      </c>
      <c r="E11" s="221"/>
      <c r="F11" s="221">
        <v>0</v>
      </c>
      <c r="G11" s="235">
        <f>ROUND(D11*F11,2)</f>
        <v>0</v>
      </c>
      <c r="H11" s="661"/>
    </row>
    <row r="12" spans="1:8" ht="17.25" customHeight="1" thickTop="1" thickBot="1" x14ac:dyDescent="0.3">
      <c r="A12" s="204"/>
      <c r="B12" s="204"/>
      <c r="C12" s="204"/>
      <c r="D12" s="204"/>
      <c r="E12" s="1387" t="s">
        <v>619</v>
      </c>
      <c r="F12" s="1388"/>
      <c r="G12" s="1389"/>
      <c r="H12" s="247">
        <f>SUM(G10:G11)</f>
        <v>38.39</v>
      </c>
    </row>
    <row r="13" spans="1:8" ht="17.25" customHeight="1" thickTop="1" thickBot="1" x14ac:dyDescent="0.3">
      <c r="A13" s="204"/>
      <c r="B13" s="204"/>
      <c r="C13" s="204"/>
      <c r="D13" s="204"/>
      <c r="E13" s="1384" t="s">
        <v>626</v>
      </c>
      <c r="F13" s="1385"/>
      <c r="G13" s="1386"/>
      <c r="H13" s="247">
        <f>SUM(H12,H9)</f>
        <v>192.17000000000002</v>
      </c>
    </row>
    <row r="14" spans="1:8" ht="17.25" customHeight="1" thickTop="1" x14ac:dyDescent="0.25">
      <c r="A14" s="204"/>
      <c r="B14" s="204"/>
      <c r="C14" s="204"/>
      <c r="D14" s="204"/>
      <c r="E14" s="1570"/>
      <c r="F14" s="1570"/>
      <c r="G14" s="1570"/>
      <c r="H14" s="1571"/>
    </row>
    <row r="15" spans="1:8" ht="17.25" customHeight="1" x14ac:dyDescent="0.25">
      <c r="A15" s="204"/>
      <c r="B15" s="204"/>
      <c r="C15" s="204"/>
      <c r="D15" s="204"/>
      <c r="E15" s="1570"/>
      <c r="F15" s="1570"/>
      <c r="G15" s="1570"/>
      <c r="H15" s="1571"/>
    </row>
    <row r="16" spans="1:8" ht="17.25" customHeight="1" x14ac:dyDescent="0.25">
      <c r="A16" s="204"/>
      <c r="B16" s="204"/>
      <c r="C16" s="204"/>
      <c r="D16" s="204"/>
      <c r="E16" s="1570"/>
      <c r="F16" s="1570"/>
      <c r="G16" s="1570"/>
      <c r="H16" s="1571"/>
    </row>
    <row r="17" spans="1:8" ht="12.75" customHeight="1" thickBot="1" x14ac:dyDescent="0.25"/>
    <row r="18" spans="1:8" ht="19.5" customHeight="1" thickTop="1" thickBot="1" x14ac:dyDescent="0.25">
      <c r="A18" s="1373" t="s">
        <v>1275</v>
      </c>
      <c r="B18" s="1375"/>
      <c r="C18" s="1375"/>
      <c r="D18" s="1375"/>
      <c r="E18" s="1375"/>
      <c r="F18" s="1375"/>
      <c r="G18" s="1375"/>
      <c r="H18" s="1374"/>
    </row>
    <row r="19" spans="1:8" ht="33" thickTop="1" thickBot="1" x14ac:dyDescent="0.25">
      <c r="A19" s="227" t="s">
        <v>612</v>
      </c>
      <c r="B19" s="8" t="s">
        <v>3</v>
      </c>
      <c r="C19" s="8" t="s">
        <v>622</v>
      </c>
      <c r="D19" s="8" t="s">
        <v>334</v>
      </c>
      <c r="E19" s="662" t="s">
        <v>1107</v>
      </c>
      <c r="F19" s="8" t="s">
        <v>613</v>
      </c>
      <c r="G19" s="8" t="s">
        <v>614</v>
      </c>
      <c r="H19" s="7" t="s">
        <v>615</v>
      </c>
    </row>
    <row r="20" spans="1:8" ht="19.5" customHeight="1" thickTop="1" x14ac:dyDescent="0.25">
      <c r="A20" s="214" t="s">
        <v>1295</v>
      </c>
      <c r="B20" s="225" t="s">
        <v>290</v>
      </c>
      <c r="C20" s="223">
        <v>0.1</v>
      </c>
      <c r="D20" s="665">
        <v>1.2</v>
      </c>
      <c r="E20" s="650">
        <f>SUM(D20+C20*D20)</f>
        <v>1.3199999999999998</v>
      </c>
      <c r="F20" s="250">
        <v>16.5</v>
      </c>
      <c r="G20" s="251">
        <f t="shared" ref="G20:G23" si="2">F20*E20</f>
        <v>21.779999999999998</v>
      </c>
      <c r="H20" s="242"/>
    </row>
    <row r="21" spans="1:8" ht="19.5" customHeight="1" x14ac:dyDescent="0.25">
      <c r="A21" s="214" t="s">
        <v>625</v>
      </c>
      <c r="B21" s="225" t="s">
        <v>14</v>
      </c>
      <c r="C21" s="223">
        <v>0.1</v>
      </c>
      <c r="D21" s="203">
        <v>300</v>
      </c>
      <c r="E21" s="650">
        <f>SUM(D21+C21*D21)</f>
        <v>330</v>
      </c>
      <c r="F21" s="249">
        <v>0.42</v>
      </c>
      <c r="G21" s="252">
        <f t="shared" si="2"/>
        <v>138.6</v>
      </c>
      <c r="H21" s="243"/>
    </row>
    <row r="22" spans="1:8" ht="19.5" customHeight="1" x14ac:dyDescent="0.25">
      <c r="A22" s="214" t="s">
        <v>624</v>
      </c>
      <c r="B22" s="225" t="s">
        <v>14</v>
      </c>
      <c r="C22" s="223">
        <v>0.1</v>
      </c>
      <c r="D22" s="203">
        <v>300</v>
      </c>
      <c r="E22" s="650">
        <f t="shared" ref="E22:E23" si="3">SUM(D22+C22*D22)</f>
        <v>330</v>
      </c>
      <c r="F22" s="249">
        <v>0.38</v>
      </c>
      <c r="G22" s="252">
        <f t="shared" si="2"/>
        <v>125.4</v>
      </c>
      <c r="H22" s="243"/>
    </row>
    <row r="23" spans="1:8" ht="19.5" customHeight="1" thickBot="1" x14ac:dyDescent="0.3">
      <c r="A23" s="215"/>
      <c r="B23" s="239"/>
      <c r="C23" s="223">
        <v>0</v>
      </c>
      <c r="D23" s="663">
        <v>0</v>
      </c>
      <c r="E23" s="650">
        <f t="shared" si="3"/>
        <v>0</v>
      </c>
      <c r="F23" s="253">
        <v>0</v>
      </c>
      <c r="G23" s="664">
        <f t="shared" si="2"/>
        <v>0</v>
      </c>
      <c r="H23" s="243"/>
    </row>
    <row r="24" spans="1:8" ht="17.25" thickTop="1" thickBot="1" x14ac:dyDescent="0.25">
      <c r="A24" s="1380"/>
      <c r="B24" s="1380"/>
      <c r="C24" s="1380"/>
      <c r="D24" s="1380"/>
      <c r="E24" s="1381"/>
      <c r="F24" s="1390" t="s">
        <v>617</v>
      </c>
      <c r="G24" s="1377"/>
      <c r="H24" s="248">
        <f>SUM(G20:G23)</f>
        <v>285.77999999999997</v>
      </c>
    </row>
    <row r="25" spans="1:8" ht="16.5" thickTop="1" x14ac:dyDescent="0.25">
      <c r="A25" s="218" t="s">
        <v>193</v>
      </c>
      <c r="B25" s="219" t="s">
        <v>86</v>
      </c>
      <c r="C25" s="219"/>
      <c r="D25" s="220">
        <v>1.58</v>
      </c>
      <c r="E25" s="220"/>
      <c r="F25" s="220">
        <v>24.3</v>
      </c>
      <c r="G25" s="234">
        <f>ROUND(D25*F25,2)</f>
        <v>38.39</v>
      </c>
      <c r="H25" s="660"/>
    </row>
    <row r="26" spans="1:8" ht="16.5" thickBot="1" x14ac:dyDescent="0.3">
      <c r="A26" s="215" t="s">
        <v>618</v>
      </c>
      <c r="B26" s="216" t="s">
        <v>3</v>
      </c>
      <c r="C26" s="216"/>
      <c r="D26" s="221">
        <v>0</v>
      </c>
      <c r="E26" s="221"/>
      <c r="F26" s="221">
        <v>0</v>
      </c>
      <c r="G26" s="235">
        <f>ROUND(D26*F26,2)</f>
        <v>0</v>
      </c>
      <c r="H26" s="661"/>
    </row>
    <row r="27" spans="1:8" ht="17.25" customHeight="1" thickTop="1" thickBot="1" x14ac:dyDescent="0.3">
      <c r="A27" s="204"/>
      <c r="B27" s="204"/>
      <c r="C27" s="204"/>
      <c r="D27" s="204"/>
      <c r="E27" s="1387" t="s">
        <v>619</v>
      </c>
      <c r="F27" s="1388"/>
      <c r="G27" s="1389"/>
      <c r="H27" s="247">
        <f>SUM(G25:G26)</f>
        <v>38.39</v>
      </c>
    </row>
    <row r="28" spans="1:8" ht="17.25" customHeight="1" thickTop="1" thickBot="1" x14ac:dyDescent="0.3">
      <c r="A28" s="204"/>
      <c r="B28" s="204"/>
      <c r="C28" s="204"/>
      <c r="D28" s="204"/>
      <c r="E28" s="1384" t="s">
        <v>626</v>
      </c>
      <c r="F28" s="1385"/>
      <c r="G28" s="1386"/>
      <c r="H28" s="247">
        <f>SUM(H27,H24)</f>
        <v>324.16999999999996</v>
      </c>
    </row>
    <row r="29" spans="1:8" ht="12.75" customHeight="1" thickTop="1" x14ac:dyDescent="0.2"/>
  </sheetData>
  <mergeCells count="11">
    <mergeCell ref="B1:F1"/>
    <mergeCell ref="E13:G13"/>
    <mergeCell ref="A18:H18"/>
    <mergeCell ref="F24:G24"/>
    <mergeCell ref="A24:E24"/>
    <mergeCell ref="E28:G28"/>
    <mergeCell ref="E27:G27"/>
    <mergeCell ref="A3:H3"/>
    <mergeCell ref="F9:G9"/>
    <mergeCell ref="A9:E9"/>
    <mergeCell ref="E12:G12"/>
  </mergeCells>
  <pageMargins left="0.25" right="0.25" top="0.75" bottom="0.75" header="0.3" footer="0.3"/>
  <pageSetup paperSize="9" orientation="portrait" r:id="rId1"/>
  <headerFooter>
    <oddHeader>&amp;LEL RHALMANI OUSSAMA&amp;C&amp;"Calibri,Gras"&amp;20FABRICATION DES MORTIERS&amp;RTS 424 EP</oddHead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3D1C36B9-AFB5-41B0-93C4-6EA0A566958A}">
          <x14:formula1>
            <xm:f>Notes!$B$3:$B$13</xm:f>
          </x14:formula1>
          <xm:sqref>B5:B7 B10:B11 B20:B22 B25:B26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61A8-A734-474D-8FAB-BA4B4FB07E31}">
  <dimension ref="A1:P643"/>
  <sheetViews>
    <sheetView tabSelected="1" view="pageLayout" topLeftCell="A68" zoomScaleNormal="100" workbookViewId="0">
      <selection activeCell="M52" sqref="M52:O52"/>
    </sheetView>
  </sheetViews>
  <sheetFormatPr baseColWidth="10" defaultRowHeight="15" x14ac:dyDescent="0.25"/>
  <cols>
    <col min="1" max="1" width="29.85546875" customWidth="1"/>
    <col min="2" max="2" width="5.28515625" style="859" customWidth="1"/>
    <col min="3" max="3" width="8.85546875" customWidth="1"/>
    <col min="4" max="4" width="12.42578125" bestFit="1" customWidth="1"/>
    <col min="5" max="5" width="11.7109375" bestFit="1" customWidth="1"/>
    <col min="6" max="6" width="11.5703125" bestFit="1" customWidth="1"/>
    <col min="7" max="7" width="16.5703125" customWidth="1"/>
    <col min="8" max="8" width="3.42578125" customWidth="1"/>
    <col min="9" max="9" width="12.5703125" bestFit="1" customWidth="1"/>
    <col min="15" max="15" width="13.5703125" bestFit="1" customWidth="1"/>
    <col min="256" max="256" width="0.85546875" customWidth="1"/>
    <col min="257" max="257" width="29.85546875" customWidth="1"/>
    <col min="258" max="258" width="5.28515625" customWidth="1"/>
    <col min="259" max="259" width="11.5703125" bestFit="1" customWidth="1"/>
    <col min="260" max="260" width="12.42578125" bestFit="1" customWidth="1"/>
    <col min="261" max="261" width="11.7109375" bestFit="1" customWidth="1"/>
    <col min="262" max="262" width="11.5703125" bestFit="1" customWidth="1"/>
    <col min="512" max="512" width="0.85546875" customWidth="1"/>
    <col min="513" max="513" width="29.85546875" customWidth="1"/>
    <col min="514" max="514" width="5.28515625" customWidth="1"/>
    <col min="515" max="515" width="11.5703125" bestFit="1" customWidth="1"/>
    <col min="516" max="516" width="12.42578125" bestFit="1" customWidth="1"/>
    <col min="517" max="517" width="11.7109375" bestFit="1" customWidth="1"/>
    <col min="518" max="518" width="11.5703125" bestFit="1" customWidth="1"/>
    <col min="768" max="768" width="0.85546875" customWidth="1"/>
    <col min="769" max="769" width="29.85546875" customWidth="1"/>
    <col min="770" max="770" width="5.28515625" customWidth="1"/>
    <col min="771" max="771" width="11.5703125" bestFit="1" customWidth="1"/>
    <col min="772" max="772" width="12.42578125" bestFit="1" customWidth="1"/>
    <col min="773" max="773" width="11.7109375" bestFit="1" customWidth="1"/>
    <col min="774" max="774" width="11.5703125" bestFit="1" customWidth="1"/>
    <col min="1024" max="1024" width="0.85546875" customWidth="1"/>
    <col min="1025" max="1025" width="29.85546875" customWidth="1"/>
    <col min="1026" max="1026" width="5.28515625" customWidth="1"/>
    <col min="1027" max="1027" width="11.5703125" bestFit="1" customWidth="1"/>
    <col min="1028" max="1028" width="12.42578125" bestFit="1" customWidth="1"/>
    <col min="1029" max="1029" width="11.7109375" bestFit="1" customWidth="1"/>
    <col min="1030" max="1030" width="11.5703125" bestFit="1" customWidth="1"/>
    <col min="1280" max="1280" width="0.85546875" customWidth="1"/>
    <col min="1281" max="1281" width="29.85546875" customWidth="1"/>
    <col min="1282" max="1282" width="5.28515625" customWidth="1"/>
    <col min="1283" max="1283" width="11.5703125" bestFit="1" customWidth="1"/>
    <col min="1284" max="1284" width="12.42578125" bestFit="1" customWidth="1"/>
    <col min="1285" max="1285" width="11.7109375" bestFit="1" customWidth="1"/>
    <col min="1286" max="1286" width="11.5703125" bestFit="1" customWidth="1"/>
    <col min="1536" max="1536" width="0.85546875" customWidth="1"/>
    <col min="1537" max="1537" width="29.85546875" customWidth="1"/>
    <col min="1538" max="1538" width="5.28515625" customWidth="1"/>
    <col min="1539" max="1539" width="11.5703125" bestFit="1" customWidth="1"/>
    <col min="1540" max="1540" width="12.42578125" bestFit="1" customWidth="1"/>
    <col min="1541" max="1541" width="11.7109375" bestFit="1" customWidth="1"/>
    <col min="1542" max="1542" width="11.5703125" bestFit="1" customWidth="1"/>
    <col min="1792" max="1792" width="0.85546875" customWidth="1"/>
    <col min="1793" max="1793" width="29.85546875" customWidth="1"/>
    <col min="1794" max="1794" width="5.28515625" customWidth="1"/>
    <col min="1795" max="1795" width="11.5703125" bestFit="1" customWidth="1"/>
    <col min="1796" max="1796" width="12.42578125" bestFit="1" customWidth="1"/>
    <col min="1797" max="1797" width="11.7109375" bestFit="1" customWidth="1"/>
    <col min="1798" max="1798" width="11.5703125" bestFit="1" customWidth="1"/>
    <col min="2048" max="2048" width="0.85546875" customWidth="1"/>
    <col min="2049" max="2049" width="29.85546875" customWidth="1"/>
    <col min="2050" max="2050" width="5.28515625" customWidth="1"/>
    <col min="2051" max="2051" width="11.5703125" bestFit="1" customWidth="1"/>
    <col min="2052" max="2052" width="12.42578125" bestFit="1" customWidth="1"/>
    <col min="2053" max="2053" width="11.7109375" bestFit="1" customWidth="1"/>
    <col min="2054" max="2054" width="11.5703125" bestFit="1" customWidth="1"/>
    <col min="2304" max="2304" width="0.85546875" customWidth="1"/>
    <col min="2305" max="2305" width="29.85546875" customWidth="1"/>
    <col min="2306" max="2306" width="5.28515625" customWidth="1"/>
    <col min="2307" max="2307" width="11.5703125" bestFit="1" customWidth="1"/>
    <col min="2308" max="2308" width="12.42578125" bestFit="1" customWidth="1"/>
    <col min="2309" max="2309" width="11.7109375" bestFit="1" customWidth="1"/>
    <col min="2310" max="2310" width="11.5703125" bestFit="1" customWidth="1"/>
    <col min="2560" max="2560" width="0.85546875" customWidth="1"/>
    <col min="2561" max="2561" width="29.85546875" customWidth="1"/>
    <col min="2562" max="2562" width="5.28515625" customWidth="1"/>
    <col min="2563" max="2563" width="11.5703125" bestFit="1" customWidth="1"/>
    <col min="2564" max="2564" width="12.42578125" bestFit="1" customWidth="1"/>
    <col min="2565" max="2565" width="11.7109375" bestFit="1" customWidth="1"/>
    <col min="2566" max="2566" width="11.5703125" bestFit="1" customWidth="1"/>
    <col min="2816" max="2816" width="0.85546875" customWidth="1"/>
    <col min="2817" max="2817" width="29.85546875" customWidth="1"/>
    <col min="2818" max="2818" width="5.28515625" customWidth="1"/>
    <col min="2819" max="2819" width="11.5703125" bestFit="1" customWidth="1"/>
    <col min="2820" max="2820" width="12.42578125" bestFit="1" customWidth="1"/>
    <col min="2821" max="2821" width="11.7109375" bestFit="1" customWidth="1"/>
    <col min="2822" max="2822" width="11.5703125" bestFit="1" customWidth="1"/>
    <col min="3072" max="3072" width="0.85546875" customWidth="1"/>
    <col min="3073" max="3073" width="29.85546875" customWidth="1"/>
    <col min="3074" max="3074" width="5.28515625" customWidth="1"/>
    <col min="3075" max="3075" width="11.5703125" bestFit="1" customWidth="1"/>
    <col min="3076" max="3076" width="12.42578125" bestFit="1" customWidth="1"/>
    <col min="3077" max="3077" width="11.7109375" bestFit="1" customWidth="1"/>
    <col min="3078" max="3078" width="11.5703125" bestFit="1" customWidth="1"/>
    <col min="3328" max="3328" width="0.85546875" customWidth="1"/>
    <col min="3329" max="3329" width="29.85546875" customWidth="1"/>
    <col min="3330" max="3330" width="5.28515625" customWidth="1"/>
    <col min="3331" max="3331" width="11.5703125" bestFit="1" customWidth="1"/>
    <col min="3332" max="3332" width="12.42578125" bestFit="1" customWidth="1"/>
    <col min="3333" max="3333" width="11.7109375" bestFit="1" customWidth="1"/>
    <col min="3334" max="3334" width="11.5703125" bestFit="1" customWidth="1"/>
    <col min="3584" max="3584" width="0.85546875" customWidth="1"/>
    <col min="3585" max="3585" width="29.85546875" customWidth="1"/>
    <col min="3586" max="3586" width="5.28515625" customWidth="1"/>
    <col min="3587" max="3587" width="11.5703125" bestFit="1" customWidth="1"/>
    <col min="3588" max="3588" width="12.42578125" bestFit="1" customWidth="1"/>
    <col min="3589" max="3589" width="11.7109375" bestFit="1" customWidth="1"/>
    <col min="3590" max="3590" width="11.5703125" bestFit="1" customWidth="1"/>
    <col min="3840" max="3840" width="0.85546875" customWidth="1"/>
    <col min="3841" max="3841" width="29.85546875" customWidth="1"/>
    <col min="3842" max="3842" width="5.28515625" customWidth="1"/>
    <col min="3843" max="3843" width="11.5703125" bestFit="1" customWidth="1"/>
    <col min="3844" max="3844" width="12.42578125" bestFit="1" customWidth="1"/>
    <col min="3845" max="3845" width="11.7109375" bestFit="1" customWidth="1"/>
    <col min="3846" max="3846" width="11.5703125" bestFit="1" customWidth="1"/>
    <col min="4096" max="4096" width="0.85546875" customWidth="1"/>
    <col min="4097" max="4097" width="29.85546875" customWidth="1"/>
    <col min="4098" max="4098" width="5.28515625" customWidth="1"/>
    <col min="4099" max="4099" width="11.5703125" bestFit="1" customWidth="1"/>
    <col min="4100" max="4100" width="12.42578125" bestFit="1" customWidth="1"/>
    <col min="4101" max="4101" width="11.7109375" bestFit="1" customWidth="1"/>
    <col min="4102" max="4102" width="11.5703125" bestFit="1" customWidth="1"/>
    <col min="4352" max="4352" width="0.85546875" customWidth="1"/>
    <col min="4353" max="4353" width="29.85546875" customWidth="1"/>
    <col min="4354" max="4354" width="5.28515625" customWidth="1"/>
    <col min="4355" max="4355" width="11.5703125" bestFit="1" customWidth="1"/>
    <col min="4356" max="4356" width="12.42578125" bestFit="1" customWidth="1"/>
    <col min="4357" max="4357" width="11.7109375" bestFit="1" customWidth="1"/>
    <col min="4358" max="4358" width="11.5703125" bestFit="1" customWidth="1"/>
    <col min="4608" max="4608" width="0.85546875" customWidth="1"/>
    <col min="4609" max="4609" width="29.85546875" customWidth="1"/>
    <col min="4610" max="4610" width="5.28515625" customWidth="1"/>
    <col min="4611" max="4611" width="11.5703125" bestFit="1" customWidth="1"/>
    <col min="4612" max="4612" width="12.42578125" bestFit="1" customWidth="1"/>
    <col min="4613" max="4613" width="11.7109375" bestFit="1" customWidth="1"/>
    <col min="4614" max="4614" width="11.5703125" bestFit="1" customWidth="1"/>
    <col min="4864" max="4864" width="0.85546875" customWidth="1"/>
    <col min="4865" max="4865" width="29.85546875" customWidth="1"/>
    <col min="4866" max="4866" width="5.28515625" customWidth="1"/>
    <col min="4867" max="4867" width="11.5703125" bestFit="1" customWidth="1"/>
    <col min="4868" max="4868" width="12.42578125" bestFit="1" customWidth="1"/>
    <col min="4869" max="4869" width="11.7109375" bestFit="1" customWidth="1"/>
    <col min="4870" max="4870" width="11.5703125" bestFit="1" customWidth="1"/>
    <col min="5120" max="5120" width="0.85546875" customWidth="1"/>
    <col min="5121" max="5121" width="29.85546875" customWidth="1"/>
    <col min="5122" max="5122" width="5.28515625" customWidth="1"/>
    <col min="5123" max="5123" width="11.5703125" bestFit="1" customWidth="1"/>
    <col min="5124" max="5124" width="12.42578125" bestFit="1" customWidth="1"/>
    <col min="5125" max="5125" width="11.7109375" bestFit="1" customWidth="1"/>
    <col min="5126" max="5126" width="11.5703125" bestFit="1" customWidth="1"/>
    <col min="5376" max="5376" width="0.85546875" customWidth="1"/>
    <col min="5377" max="5377" width="29.85546875" customWidth="1"/>
    <col min="5378" max="5378" width="5.28515625" customWidth="1"/>
    <col min="5379" max="5379" width="11.5703125" bestFit="1" customWidth="1"/>
    <col min="5380" max="5380" width="12.42578125" bestFit="1" customWidth="1"/>
    <col min="5381" max="5381" width="11.7109375" bestFit="1" customWidth="1"/>
    <col min="5382" max="5382" width="11.5703125" bestFit="1" customWidth="1"/>
    <col min="5632" max="5632" width="0.85546875" customWidth="1"/>
    <col min="5633" max="5633" width="29.85546875" customWidth="1"/>
    <col min="5634" max="5634" width="5.28515625" customWidth="1"/>
    <col min="5635" max="5635" width="11.5703125" bestFit="1" customWidth="1"/>
    <col min="5636" max="5636" width="12.42578125" bestFit="1" customWidth="1"/>
    <col min="5637" max="5637" width="11.7109375" bestFit="1" customWidth="1"/>
    <col min="5638" max="5638" width="11.5703125" bestFit="1" customWidth="1"/>
    <col min="5888" max="5888" width="0.85546875" customWidth="1"/>
    <col min="5889" max="5889" width="29.85546875" customWidth="1"/>
    <col min="5890" max="5890" width="5.28515625" customWidth="1"/>
    <col min="5891" max="5891" width="11.5703125" bestFit="1" customWidth="1"/>
    <col min="5892" max="5892" width="12.42578125" bestFit="1" customWidth="1"/>
    <col min="5893" max="5893" width="11.7109375" bestFit="1" customWidth="1"/>
    <col min="5894" max="5894" width="11.5703125" bestFit="1" customWidth="1"/>
    <col min="6144" max="6144" width="0.85546875" customWidth="1"/>
    <col min="6145" max="6145" width="29.85546875" customWidth="1"/>
    <col min="6146" max="6146" width="5.28515625" customWidth="1"/>
    <col min="6147" max="6147" width="11.5703125" bestFit="1" customWidth="1"/>
    <col min="6148" max="6148" width="12.42578125" bestFit="1" customWidth="1"/>
    <col min="6149" max="6149" width="11.7109375" bestFit="1" customWidth="1"/>
    <col min="6150" max="6150" width="11.5703125" bestFit="1" customWidth="1"/>
    <col min="6400" max="6400" width="0.85546875" customWidth="1"/>
    <col min="6401" max="6401" width="29.85546875" customWidth="1"/>
    <col min="6402" max="6402" width="5.28515625" customWidth="1"/>
    <col min="6403" max="6403" width="11.5703125" bestFit="1" customWidth="1"/>
    <col min="6404" max="6404" width="12.42578125" bestFit="1" customWidth="1"/>
    <col min="6405" max="6405" width="11.7109375" bestFit="1" customWidth="1"/>
    <col min="6406" max="6406" width="11.5703125" bestFit="1" customWidth="1"/>
    <col min="6656" max="6656" width="0.85546875" customWidth="1"/>
    <col min="6657" max="6657" width="29.85546875" customWidth="1"/>
    <col min="6658" max="6658" width="5.28515625" customWidth="1"/>
    <col min="6659" max="6659" width="11.5703125" bestFit="1" customWidth="1"/>
    <col min="6660" max="6660" width="12.42578125" bestFit="1" customWidth="1"/>
    <col min="6661" max="6661" width="11.7109375" bestFit="1" customWidth="1"/>
    <col min="6662" max="6662" width="11.5703125" bestFit="1" customWidth="1"/>
    <col min="6912" max="6912" width="0.85546875" customWidth="1"/>
    <col min="6913" max="6913" width="29.85546875" customWidth="1"/>
    <col min="6914" max="6914" width="5.28515625" customWidth="1"/>
    <col min="6915" max="6915" width="11.5703125" bestFit="1" customWidth="1"/>
    <col min="6916" max="6916" width="12.42578125" bestFit="1" customWidth="1"/>
    <col min="6917" max="6917" width="11.7109375" bestFit="1" customWidth="1"/>
    <col min="6918" max="6918" width="11.5703125" bestFit="1" customWidth="1"/>
    <col min="7168" max="7168" width="0.85546875" customWidth="1"/>
    <col min="7169" max="7169" width="29.85546875" customWidth="1"/>
    <col min="7170" max="7170" width="5.28515625" customWidth="1"/>
    <col min="7171" max="7171" width="11.5703125" bestFit="1" customWidth="1"/>
    <col min="7172" max="7172" width="12.42578125" bestFit="1" customWidth="1"/>
    <col min="7173" max="7173" width="11.7109375" bestFit="1" customWidth="1"/>
    <col min="7174" max="7174" width="11.5703125" bestFit="1" customWidth="1"/>
    <col min="7424" max="7424" width="0.85546875" customWidth="1"/>
    <col min="7425" max="7425" width="29.85546875" customWidth="1"/>
    <col min="7426" max="7426" width="5.28515625" customWidth="1"/>
    <col min="7427" max="7427" width="11.5703125" bestFit="1" customWidth="1"/>
    <col min="7428" max="7428" width="12.42578125" bestFit="1" customWidth="1"/>
    <col min="7429" max="7429" width="11.7109375" bestFit="1" customWidth="1"/>
    <col min="7430" max="7430" width="11.5703125" bestFit="1" customWidth="1"/>
    <col min="7680" max="7680" width="0.85546875" customWidth="1"/>
    <col min="7681" max="7681" width="29.85546875" customWidth="1"/>
    <col min="7682" max="7682" width="5.28515625" customWidth="1"/>
    <col min="7683" max="7683" width="11.5703125" bestFit="1" customWidth="1"/>
    <col min="7684" max="7684" width="12.42578125" bestFit="1" customWidth="1"/>
    <col min="7685" max="7685" width="11.7109375" bestFit="1" customWidth="1"/>
    <col min="7686" max="7686" width="11.5703125" bestFit="1" customWidth="1"/>
    <col min="7936" max="7936" width="0.85546875" customWidth="1"/>
    <col min="7937" max="7937" width="29.85546875" customWidth="1"/>
    <col min="7938" max="7938" width="5.28515625" customWidth="1"/>
    <col min="7939" max="7939" width="11.5703125" bestFit="1" customWidth="1"/>
    <col min="7940" max="7940" width="12.42578125" bestFit="1" customWidth="1"/>
    <col min="7941" max="7941" width="11.7109375" bestFit="1" customWidth="1"/>
    <col min="7942" max="7942" width="11.5703125" bestFit="1" customWidth="1"/>
    <col min="8192" max="8192" width="0.85546875" customWidth="1"/>
    <col min="8193" max="8193" width="29.85546875" customWidth="1"/>
    <col min="8194" max="8194" width="5.28515625" customWidth="1"/>
    <col min="8195" max="8195" width="11.5703125" bestFit="1" customWidth="1"/>
    <col min="8196" max="8196" width="12.42578125" bestFit="1" customWidth="1"/>
    <col min="8197" max="8197" width="11.7109375" bestFit="1" customWidth="1"/>
    <col min="8198" max="8198" width="11.5703125" bestFit="1" customWidth="1"/>
    <col min="8448" max="8448" width="0.85546875" customWidth="1"/>
    <col min="8449" max="8449" width="29.85546875" customWidth="1"/>
    <col min="8450" max="8450" width="5.28515625" customWidth="1"/>
    <col min="8451" max="8451" width="11.5703125" bestFit="1" customWidth="1"/>
    <col min="8452" max="8452" width="12.42578125" bestFit="1" customWidth="1"/>
    <col min="8453" max="8453" width="11.7109375" bestFit="1" customWidth="1"/>
    <col min="8454" max="8454" width="11.5703125" bestFit="1" customWidth="1"/>
    <col min="8704" max="8704" width="0.85546875" customWidth="1"/>
    <col min="8705" max="8705" width="29.85546875" customWidth="1"/>
    <col min="8706" max="8706" width="5.28515625" customWidth="1"/>
    <col min="8707" max="8707" width="11.5703125" bestFit="1" customWidth="1"/>
    <col min="8708" max="8708" width="12.42578125" bestFit="1" customWidth="1"/>
    <col min="8709" max="8709" width="11.7109375" bestFit="1" customWidth="1"/>
    <col min="8710" max="8710" width="11.5703125" bestFit="1" customWidth="1"/>
    <col min="8960" max="8960" width="0.85546875" customWidth="1"/>
    <col min="8961" max="8961" width="29.85546875" customWidth="1"/>
    <col min="8962" max="8962" width="5.28515625" customWidth="1"/>
    <col min="8963" max="8963" width="11.5703125" bestFit="1" customWidth="1"/>
    <col min="8964" max="8964" width="12.42578125" bestFit="1" customWidth="1"/>
    <col min="8965" max="8965" width="11.7109375" bestFit="1" customWidth="1"/>
    <col min="8966" max="8966" width="11.5703125" bestFit="1" customWidth="1"/>
    <col min="9216" max="9216" width="0.85546875" customWidth="1"/>
    <col min="9217" max="9217" width="29.85546875" customWidth="1"/>
    <col min="9218" max="9218" width="5.28515625" customWidth="1"/>
    <col min="9219" max="9219" width="11.5703125" bestFit="1" customWidth="1"/>
    <col min="9220" max="9220" width="12.42578125" bestFit="1" customWidth="1"/>
    <col min="9221" max="9221" width="11.7109375" bestFit="1" customWidth="1"/>
    <col min="9222" max="9222" width="11.5703125" bestFit="1" customWidth="1"/>
    <col min="9472" max="9472" width="0.85546875" customWidth="1"/>
    <col min="9473" max="9473" width="29.85546875" customWidth="1"/>
    <col min="9474" max="9474" width="5.28515625" customWidth="1"/>
    <col min="9475" max="9475" width="11.5703125" bestFit="1" customWidth="1"/>
    <col min="9476" max="9476" width="12.42578125" bestFit="1" customWidth="1"/>
    <col min="9477" max="9477" width="11.7109375" bestFit="1" customWidth="1"/>
    <col min="9478" max="9478" width="11.5703125" bestFit="1" customWidth="1"/>
    <col min="9728" max="9728" width="0.85546875" customWidth="1"/>
    <col min="9729" max="9729" width="29.85546875" customWidth="1"/>
    <col min="9730" max="9730" width="5.28515625" customWidth="1"/>
    <col min="9731" max="9731" width="11.5703125" bestFit="1" customWidth="1"/>
    <col min="9732" max="9732" width="12.42578125" bestFit="1" customWidth="1"/>
    <col min="9733" max="9733" width="11.7109375" bestFit="1" customWidth="1"/>
    <col min="9734" max="9734" width="11.5703125" bestFit="1" customWidth="1"/>
    <col min="9984" max="9984" width="0.85546875" customWidth="1"/>
    <col min="9985" max="9985" width="29.85546875" customWidth="1"/>
    <col min="9986" max="9986" width="5.28515625" customWidth="1"/>
    <col min="9987" max="9987" width="11.5703125" bestFit="1" customWidth="1"/>
    <col min="9988" max="9988" width="12.42578125" bestFit="1" customWidth="1"/>
    <col min="9989" max="9989" width="11.7109375" bestFit="1" customWidth="1"/>
    <col min="9990" max="9990" width="11.5703125" bestFit="1" customWidth="1"/>
    <col min="10240" max="10240" width="0.85546875" customWidth="1"/>
    <col min="10241" max="10241" width="29.85546875" customWidth="1"/>
    <col min="10242" max="10242" width="5.28515625" customWidth="1"/>
    <col min="10243" max="10243" width="11.5703125" bestFit="1" customWidth="1"/>
    <col min="10244" max="10244" width="12.42578125" bestFit="1" customWidth="1"/>
    <col min="10245" max="10245" width="11.7109375" bestFit="1" customWidth="1"/>
    <col min="10246" max="10246" width="11.5703125" bestFit="1" customWidth="1"/>
    <col min="10496" max="10496" width="0.85546875" customWidth="1"/>
    <col min="10497" max="10497" width="29.85546875" customWidth="1"/>
    <col min="10498" max="10498" width="5.28515625" customWidth="1"/>
    <col min="10499" max="10499" width="11.5703125" bestFit="1" customWidth="1"/>
    <col min="10500" max="10500" width="12.42578125" bestFit="1" customWidth="1"/>
    <col min="10501" max="10501" width="11.7109375" bestFit="1" customWidth="1"/>
    <col min="10502" max="10502" width="11.5703125" bestFit="1" customWidth="1"/>
    <col min="10752" max="10752" width="0.85546875" customWidth="1"/>
    <col min="10753" max="10753" width="29.85546875" customWidth="1"/>
    <col min="10754" max="10754" width="5.28515625" customWidth="1"/>
    <col min="10755" max="10755" width="11.5703125" bestFit="1" customWidth="1"/>
    <col min="10756" max="10756" width="12.42578125" bestFit="1" customWidth="1"/>
    <col min="10757" max="10757" width="11.7109375" bestFit="1" customWidth="1"/>
    <col min="10758" max="10758" width="11.5703125" bestFit="1" customWidth="1"/>
    <col min="11008" max="11008" width="0.85546875" customWidth="1"/>
    <col min="11009" max="11009" width="29.85546875" customWidth="1"/>
    <col min="11010" max="11010" width="5.28515625" customWidth="1"/>
    <col min="11011" max="11011" width="11.5703125" bestFit="1" customWidth="1"/>
    <col min="11012" max="11012" width="12.42578125" bestFit="1" customWidth="1"/>
    <col min="11013" max="11013" width="11.7109375" bestFit="1" customWidth="1"/>
    <col min="11014" max="11014" width="11.5703125" bestFit="1" customWidth="1"/>
    <col min="11264" max="11264" width="0.85546875" customWidth="1"/>
    <col min="11265" max="11265" width="29.85546875" customWidth="1"/>
    <col min="11266" max="11266" width="5.28515625" customWidth="1"/>
    <col min="11267" max="11267" width="11.5703125" bestFit="1" customWidth="1"/>
    <col min="11268" max="11268" width="12.42578125" bestFit="1" customWidth="1"/>
    <col min="11269" max="11269" width="11.7109375" bestFit="1" customWidth="1"/>
    <col min="11270" max="11270" width="11.5703125" bestFit="1" customWidth="1"/>
    <col min="11520" max="11520" width="0.85546875" customWidth="1"/>
    <col min="11521" max="11521" width="29.85546875" customWidth="1"/>
    <col min="11522" max="11522" width="5.28515625" customWidth="1"/>
    <col min="11523" max="11523" width="11.5703125" bestFit="1" customWidth="1"/>
    <col min="11524" max="11524" width="12.42578125" bestFit="1" customWidth="1"/>
    <col min="11525" max="11525" width="11.7109375" bestFit="1" customWidth="1"/>
    <col min="11526" max="11526" width="11.5703125" bestFit="1" customWidth="1"/>
    <col min="11776" max="11776" width="0.85546875" customWidth="1"/>
    <col min="11777" max="11777" width="29.85546875" customWidth="1"/>
    <col min="11778" max="11778" width="5.28515625" customWidth="1"/>
    <col min="11779" max="11779" width="11.5703125" bestFit="1" customWidth="1"/>
    <col min="11780" max="11780" width="12.42578125" bestFit="1" customWidth="1"/>
    <col min="11781" max="11781" width="11.7109375" bestFit="1" customWidth="1"/>
    <col min="11782" max="11782" width="11.5703125" bestFit="1" customWidth="1"/>
    <col min="12032" max="12032" width="0.85546875" customWidth="1"/>
    <col min="12033" max="12033" width="29.85546875" customWidth="1"/>
    <col min="12034" max="12034" width="5.28515625" customWidth="1"/>
    <col min="12035" max="12035" width="11.5703125" bestFit="1" customWidth="1"/>
    <col min="12036" max="12036" width="12.42578125" bestFit="1" customWidth="1"/>
    <col min="12037" max="12037" width="11.7109375" bestFit="1" customWidth="1"/>
    <col min="12038" max="12038" width="11.5703125" bestFit="1" customWidth="1"/>
    <col min="12288" max="12288" width="0.85546875" customWidth="1"/>
    <col min="12289" max="12289" width="29.85546875" customWidth="1"/>
    <col min="12290" max="12290" width="5.28515625" customWidth="1"/>
    <col min="12291" max="12291" width="11.5703125" bestFit="1" customWidth="1"/>
    <col min="12292" max="12292" width="12.42578125" bestFit="1" customWidth="1"/>
    <col min="12293" max="12293" width="11.7109375" bestFit="1" customWidth="1"/>
    <col min="12294" max="12294" width="11.5703125" bestFit="1" customWidth="1"/>
    <col min="12544" max="12544" width="0.85546875" customWidth="1"/>
    <col min="12545" max="12545" width="29.85546875" customWidth="1"/>
    <col min="12546" max="12546" width="5.28515625" customWidth="1"/>
    <col min="12547" max="12547" width="11.5703125" bestFit="1" customWidth="1"/>
    <col min="12548" max="12548" width="12.42578125" bestFit="1" customWidth="1"/>
    <col min="12549" max="12549" width="11.7109375" bestFit="1" customWidth="1"/>
    <col min="12550" max="12550" width="11.5703125" bestFit="1" customWidth="1"/>
    <col min="12800" max="12800" width="0.85546875" customWidth="1"/>
    <col min="12801" max="12801" width="29.85546875" customWidth="1"/>
    <col min="12802" max="12802" width="5.28515625" customWidth="1"/>
    <col min="12803" max="12803" width="11.5703125" bestFit="1" customWidth="1"/>
    <col min="12804" max="12804" width="12.42578125" bestFit="1" customWidth="1"/>
    <col min="12805" max="12805" width="11.7109375" bestFit="1" customWidth="1"/>
    <col min="12806" max="12806" width="11.5703125" bestFit="1" customWidth="1"/>
    <col min="13056" max="13056" width="0.85546875" customWidth="1"/>
    <col min="13057" max="13057" width="29.85546875" customWidth="1"/>
    <col min="13058" max="13058" width="5.28515625" customWidth="1"/>
    <col min="13059" max="13059" width="11.5703125" bestFit="1" customWidth="1"/>
    <col min="13060" max="13060" width="12.42578125" bestFit="1" customWidth="1"/>
    <col min="13061" max="13061" width="11.7109375" bestFit="1" customWidth="1"/>
    <col min="13062" max="13062" width="11.5703125" bestFit="1" customWidth="1"/>
    <col min="13312" max="13312" width="0.85546875" customWidth="1"/>
    <col min="13313" max="13313" width="29.85546875" customWidth="1"/>
    <col min="13314" max="13314" width="5.28515625" customWidth="1"/>
    <col min="13315" max="13315" width="11.5703125" bestFit="1" customWidth="1"/>
    <col min="13316" max="13316" width="12.42578125" bestFit="1" customWidth="1"/>
    <col min="13317" max="13317" width="11.7109375" bestFit="1" customWidth="1"/>
    <col min="13318" max="13318" width="11.5703125" bestFit="1" customWidth="1"/>
    <col min="13568" max="13568" width="0.85546875" customWidth="1"/>
    <col min="13569" max="13569" width="29.85546875" customWidth="1"/>
    <col min="13570" max="13570" width="5.28515625" customWidth="1"/>
    <col min="13571" max="13571" width="11.5703125" bestFit="1" customWidth="1"/>
    <col min="13572" max="13572" width="12.42578125" bestFit="1" customWidth="1"/>
    <col min="13573" max="13573" width="11.7109375" bestFit="1" customWidth="1"/>
    <col min="13574" max="13574" width="11.5703125" bestFit="1" customWidth="1"/>
    <col min="13824" max="13824" width="0.85546875" customWidth="1"/>
    <col min="13825" max="13825" width="29.85546875" customWidth="1"/>
    <col min="13826" max="13826" width="5.28515625" customWidth="1"/>
    <col min="13827" max="13827" width="11.5703125" bestFit="1" customWidth="1"/>
    <col min="13828" max="13828" width="12.42578125" bestFit="1" customWidth="1"/>
    <col min="13829" max="13829" width="11.7109375" bestFit="1" customWidth="1"/>
    <col min="13830" max="13830" width="11.5703125" bestFit="1" customWidth="1"/>
    <col min="14080" max="14080" width="0.85546875" customWidth="1"/>
    <col min="14081" max="14081" width="29.85546875" customWidth="1"/>
    <col min="14082" max="14082" width="5.28515625" customWidth="1"/>
    <col min="14083" max="14083" width="11.5703125" bestFit="1" customWidth="1"/>
    <col min="14084" max="14084" width="12.42578125" bestFit="1" customWidth="1"/>
    <col min="14085" max="14085" width="11.7109375" bestFit="1" customWidth="1"/>
    <col min="14086" max="14086" width="11.5703125" bestFit="1" customWidth="1"/>
    <col min="14336" max="14336" width="0.85546875" customWidth="1"/>
    <col min="14337" max="14337" width="29.85546875" customWidth="1"/>
    <col min="14338" max="14338" width="5.28515625" customWidth="1"/>
    <col min="14339" max="14339" width="11.5703125" bestFit="1" customWidth="1"/>
    <col min="14340" max="14340" width="12.42578125" bestFit="1" customWidth="1"/>
    <col min="14341" max="14341" width="11.7109375" bestFit="1" customWidth="1"/>
    <col min="14342" max="14342" width="11.5703125" bestFit="1" customWidth="1"/>
    <col min="14592" max="14592" width="0.85546875" customWidth="1"/>
    <col min="14593" max="14593" width="29.85546875" customWidth="1"/>
    <col min="14594" max="14594" width="5.28515625" customWidth="1"/>
    <col min="14595" max="14595" width="11.5703125" bestFit="1" customWidth="1"/>
    <col min="14596" max="14596" width="12.42578125" bestFit="1" customWidth="1"/>
    <col min="14597" max="14597" width="11.7109375" bestFit="1" customWidth="1"/>
    <col min="14598" max="14598" width="11.5703125" bestFit="1" customWidth="1"/>
    <col min="14848" max="14848" width="0.85546875" customWidth="1"/>
    <col min="14849" max="14849" width="29.85546875" customWidth="1"/>
    <col min="14850" max="14850" width="5.28515625" customWidth="1"/>
    <col min="14851" max="14851" width="11.5703125" bestFit="1" customWidth="1"/>
    <col min="14852" max="14852" width="12.42578125" bestFit="1" customWidth="1"/>
    <col min="14853" max="14853" width="11.7109375" bestFit="1" customWidth="1"/>
    <col min="14854" max="14854" width="11.5703125" bestFit="1" customWidth="1"/>
    <col min="15104" max="15104" width="0.85546875" customWidth="1"/>
    <col min="15105" max="15105" width="29.85546875" customWidth="1"/>
    <col min="15106" max="15106" width="5.28515625" customWidth="1"/>
    <col min="15107" max="15107" width="11.5703125" bestFit="1" customWidth="1"/>
    <col min="15108" max="15108" width="12.42578125" bestFit="1" customWidth="1"/>
    <col min="15109" max="15109" width="11.7109375" bestFit="1" customWidth="1"/>
    <col min="15110" max="15110" width="11.5703125" bestFit="1" customWidth="1"/>
    <col min="15360" max="15360" width="0.85546875" customWidth="1"/>
    <col min="15361" max="15361" width="29.85546875" customWidth="1"/>
    <col min="15362" max="15362" width="5.28515625" customWidth="1"/>
    <col min="15363" max="15363" width="11.5703125" bestFit="1" customWidth="1"/>
    <col min="15364" max="15364" width="12.42578125" bestFit="1" customWidth="1"/>
    <col min="15365" max="15365" width="11.7109375" bestFit="1" customWidth="1"/>
    <col min="15366" max="15366" width="11.5703125" bestFit="1" customWidth="1"/>
    <col min="15616" max="15616" width="0.85546875" customWidth="1"/>
    <col min="15617" max="15617" width="29.85546875" customWidth="1"/>
    <col min="15618" max="15618" width="5.28515625" customWidth="1"/>
    <col min="15619" max="15619" width="11.5703125" bestFit="1" customWidth="1"/>
    <col min="15620" max="15620" width="12.42578125" bestFit="1" customWidth="1"/>
    <col min="15621" max="15621" width="11.7109375" bestFit="1" customWidth="1"/>
    <col min="15622" max="15622" width="11.5703125" bestFit="1" customWidth="1"/>
    <col min="15872" max="15872" width="0.85546875" customWidth="1"/>
    <col min="15873" max="15873" width="29.85546875" customWidth="1"/>
    <col min="15874" max="15874" width="5.28515625" customWidth="1"/>
    <col min="15875" max="15875" width="11.5703125" bestFit="1" customWidth="1"/>
    <col min="15876" max="15876" width="12.42578125" bestFit="1" customWidth="1"/>
    <col min="15877" max="15877" width="11.7109375" bestFit="1" customWidth="1"/>
    <col min="15878" max="15878" width="11.5703125" bestFit="1" customWidth="1"/>
    <col min="16128" max="16128" width="0.85546875" customWidth="1"/>
    <col min="16129" max="16129" width="29.85546875" customWidth="1"/>
    <col min="16130" max="16130" width="5.28515625" customWidth="1"/>
    <col min="16131" max="16131" width="11.5703125" bestFit="1" customWidth="1"/>
    <col min="16132" max="16132" width="12.42578125" bestFit="1" customWidth="1"/>
    <col min="16133" max="16133" width="11.7109375" bestFit="1" customWidth="1"/>
    <col min="16134" max="16134" width="11.5703125" bestFit="1" customWidth="1"/>
  </cols>
  <sheetData>
    <row r="1" spans="1:15" ht="15.75" thickBot="1" x14ac:dyDescent="0.3"/>
    <row r="2" spans="1:15" ht="17.25" thickTop="1" thickBot="1" x14ac:dyDescent="0.3">
      <c r="A2" s="1397" t="s">
        <v>1175</v>
      </c>
      <c r="B2" s="1399" t="s">
        <v>1192</v>
      </c>
      <c r="C2" s="1399"/>
      <c r="D2" s="1400"/>
      <c r="E2" s="860" t="s">
        <v>57</v>
      </c>
      <c r="F2" s="1403">
        <f ca="1">TODAY()</f>
        <v>46093</v>
      </c>
      <c r="G2" s="1404"/>
    </row>
    <row r="3" spans="1:15" ht="17.25" thickTop="1" thickBot="1" x14ac:dyDescent="0.3">
      <c r="A3" s="1398"/>
      <c r="B3" s="1401"/>
      <c r="C3" s="1401"/>
      <c r="D3" s="1402"/>
      <c r="E3" s="861" t="s">
        <v>1176</v>
      </c>
      <c r="F3" s="1405" t="s">
        <v>12</v>
      </c>
      <c r="G3" s="1406"/>
    </row>
    <row r="4" spans="1:15" ht="16.5" customHeight="1" thickTop="1" thickBot="1" x14ac:dyDescent="0.3">
      <c r="A4" s="204"/>
      <c r="B4" s="208"/>
      <c r="C4" s="204"/>
      <c r="D4" s="204"/>
      <c r="E4" s="204"/>
      <c r="F4" s="204"/>
      <c r="G4" s="20"/>
    </row>
    <row r="5" spans="1:15" ht="33" thickTop="1" thickBot="1" x14ac:dyDescent="0.3">
      <c r="A5" s="8" t="s">
        <v>612</v>
      </c>
      <c r="B5" s="862" t="s">
        <v>3</v>
      </c>
      <c r="C5" s="8" t="s">
        <v>622</v>
      </c>
      <c r="D5" s="863" t="s">
        <v>334</v>
      </c>
      <c r="E5" s="864" t="s">
        <v>1107</v>
      </c>
      <c r="F5" s="858" t="s">
        <v>7</v>
      </c>
      <c r="G5" s="858" t="s">
        <v>614</v>
      </c>
    </row>
    <row r="6" spans="1:15" ht="16.5" thickTop="1" x14ac:dyDescent="0.25">
      <c r="A6" s="876" t="s">
        <v>1196</v>
      </c>
      <c r="B6" s="865" t="s">
        <v>12</v>
      </c>
      <c r="C6" s="223">
        <v>0</v>
      </c>
      <c r="D6" s="883">
        <v>1.05</v>
      </c>
      <c r="E6" s="650">
        <f>SUM(D6+C6*D6)</f>
        <v>1.05</v>
      </c>
      <c r="F6" s="250">
        <f>N6</f>
        <v>3.1999999999999997</v>
      </c>
      <c r="G6" s="877">
        <f>F6*E6</f>
        <v>3.36</v>
      </c>
      <c r="I6" t="s">
        <v>1276</v>
      </c>
      <c r="J6" t="s">
        <v>1207</v>
      </c>
      <c r="K6" s="900">
        <f>1.2*2.5</f>
        <v>3</v>
      </c>
      <c r="M6" t="s">
        <v>1209</v>
      </c>
      <c r="N6" s="900">
        <f>9.6/3</f>
        <v>3.1999999999999997</v>
      </c>
      <c r="O6" s="118" t="s">
        <v>1210</v>
      </c>
    </row>
    <row r="7" spans="1:15" ht="15.75" x14ac:dyDescent="0.25">
      <c r="A7" s="867" t="s">
        <v>1197</v>
      </c>
      <c r="B7" s="865" t="s">
        <v>12</v>
      </c>
      <c r="C7" s="223">
        <v>0</v>
      </c>
      <c r="D7" s="650">
        <v>1.05</v>
      </c>
      <c r="E7" s="650">
        <f>SUM(D7+C7*D7)</f>
        <v>1.05</v>
      </c>
      <c r="F7" s="868">
        <f>N7</f>
        <v>3.8461538461538458</v>
      </c>
      <c r="G7" s="892">
        <f>F7*E7</f>
        <v>4.0384615384615383</v>
      </c>
      <c r="I7" t="s">
        <v>1277</v>
      </c>
      <c r="J7" t="s">
        <v>1208</v>
      </c>
      <c r="K7">
        <f>1.2*5.2</f>
        <v>6.24</v>
      </c>
      <c r="M7" t="s">
        <v>1211</v>
      </c>
      <c r="N7" s="900">
        <f>24/6.24</f>
        <v>3.8461538461538458</v>
      </c>
      <c r="O7" s="118" t="s">
        <v>1210</v>
      </c>
    </row>
    <row r="8" spans="1:15" ht="15.75" x14ac:dyDescent="0.25">
      <c r="A8" s="867" t="s">
        <v>1198</v>
      </c>
      <c r="B8" s="865" t="s">
        <v>11</v>
      </c>
      <c r="C8" s="223">
        <v>0</v>
      </c>
      <c r="D8" s="650">
        <v>0.9</v>
      </c>
      <c r="E8" s="650">
        <f t="shared" ref="E8:E16" si="0">SUM(D8+C8*D8)</f>
        <v>0.9</v>
      </c>
      <c r="F8" s="868">
        <f>K8</f>
        <v>0.8</v>
      </c>
      <c r="G8" s="892">
        <f>F8*E8</f>
        <v>0.72000000000000008</v>
      </c>
      <c r="I8" t="s">
        <v>1278</v>
      </c>
      <c r="J8" t="s">
        <v>1212</v>
      </c>
      <c r="K8" s="900">
        <f>3.2/4</f>
        <v>0.8</v>
      </c>
      <c r="N8" s="900"/>
    </row>
    <row r="9" spans="1:15" ht="15.75" x14ac:dyDescent="0.25">
      <c r="A9" s="867" t="s">
        <v>1199</v>
      </c>
      <c r="B9" s="865" t="s">
        <v>12</v>
      </c>
      <c r="C9" s="223">
        <v>0</v>
      </c>
      <c r="D9" s="650">
        <v>1.1000000000000001</v>
      </c>
      <c r="E9" s="650">
        <f t="shared" si="0"/>
        <v>1.1000000000000001</v>
      </c>
      <c r="F9" s="868">
        <v>1.8</v>
      </c>
      <c r="G9" s="892">
        <f>F9*E9</f>
        <v>1.9800000000000002</v>
      </c>
    </row>
    <row r="10" spans="1:15" ht="15.75" x14ac:dyDescent="0.25">
      <c r="A10" s="867" t="s">
        <v>1200</v>
      </c>
      <c r="B10" s="865" t="s">
        <v>11</v>
      </c>
      <c r="C10" s="223">
        <v>0</v>
      </c>
      <c r="D10" s="650">
        <v>1.83</v>
      </c>
      <c r="E10" s="650">
        <f t="shared" si="0"/>
        <v>1.83</v>
      </c>
      <c r="F10" s="868">
        <f>K10</f>
        <v>1.0999999999999999</v>
      </c>
      <c r="G10" s="892">
        <f t="shared" ref="G10:G17" si="1">F10*E10</f>
        <v>2.0129999999999999</v>
      </c>
      <c r="I10" t="s">
        <v>1280</v>
      </c>
      <c r="J10" t="s">
        <v>1213</v>
      </c>
      <c r="K10" s="900">
        <f>3.3/3</f>
        <v>1.0999999999999999</v>
      </c>
    </row>
    <row r="11" spans="1:15" ht="15.75" x14ac:dyDescent="0.25">
      <c r="A11" s="867" t="s">
        <v>1201</v>
      </c>
      <c r="B11" s="865" t="s">
        <v>3</v>
      </c>
      <c r="C11" s="223">
        <v>0</v>
      </c>
      <c r="D11" s="650">
        <v>12</v>
      </c>
      <c r="E11" s="650">
        <f t="shared" si="0"/>
        <v>12</v>
      </c>
      <c r="F11" s="901">
        <f>K11</f>
        <v>1.2E-2</v>
      </c>
      <c r="G11" s="892">
        <f t="shared" si="1"/>
        <v>0.14400000000000002</v>
      </c>
      <c r="I11" t="s">
        <v>1281</v>
      </c>
      <c r="J11" t="s">
        <v>1216</v>
      </c>
      <c r="K11">
        <f>12/1000</f>
        <v>1.2E-2</v>
      </c>
    </row>
    <row r="12" spans="1:15" ht="15.75" x14ac:dyDescent="0.25">
      <c r="A12" s="869" t="s">
        <v>1202</v>
      </c>
      <c r="B12" s="865" t="s">
        <v>3</v>
      </c>
      <c r="C12" s="866">
        <v>0</v>
      </c>
      <c r="D12" s="650">
        <v>1</v>
      </c>
      <c r="E12" s="217">
        <f t="shared" si="0"/>
        <v>1</v>
      </c>
      <c r="F12" s="870">
        <f>K12</f>
        <v>0.76</v>
      </c>
      <c r="G12" s="892">
        <f t="shared" si="1"/>
        <v>0.76</v>
      </c>
      <c r="I12" t="s">
        <v>1282</v>
      </c>
      <c r="J12" t="s">
        <v>1214</v>
      </c>
      <c r="K12">
        <f>38/50</f>
        <v>0.76</v>
      </c>
    </row>
    <row r="13" spans="1:15" ht="15.75" x14ac:dyDescent="0.25">
      <c r="A13" s="867" t="s">
        <v>1203</v>
      </c>
      <c r="B13" s="865" t="s">
        <v>11</v>
      </c>
      <c r="C13" s="223">
        <v>0</v>
      </c>
      <c r="D13" s="650">
        <v>1.4</v>
      </c>
      <c r="E13" s="650">
        <f t="shared" si="0"/>
        <v>1.4</v>
      </c>
      <c r="F13" s="868">
        <f>K13</f>
        <v>0.1</v>
      </c>
      <c r="G13" s="892">
        <f t="shared" si="1"/>
        <v>0.13999999999999999</v>
      </c>
      <c r="I13" t="s">
        <v>1203</v>
      </c>
      <c r="J13" t="s">
        <v>1215</v>
      </c>
      <c r="K13" s="900">
        <f>15/150</f>
        <v>0.1</v>
      </c>
    </row>
    <row r="14" spans="1:15" ht="15.75" x14ac:dyDescent="0.25">
      <c r="A14" s="869" t="s">
        <v>1204</v>
      </c>
      <c r="B14" s="865" t="s">
        <v>11</v>
      </c>
      <c r="C14" s="866">
        <v>0</v>
      </c>
      <c r="D14" s="650">
        <v>1.6</v>
      </c>
      <c r="E14" s="217">
        <f t="shared" si="0"/>
        <v>1.6</v>
      </c>
      <c r="F14" s="870">
        <f>K14</f>
        <v>0.24</v>
      </c>
      <c r="G14" s="892">
        <f t="shared" si="1"/>
        <v>0.38400000000000001</v>
      </c>
      <c r="I14" t="s">
        <v>1279</v>
      </c>
      <c r="J14" s="902" t="s">
        <v>1217</v>
      </c>
      <c r="K14">
        <f>12/50</f>
        <v>0.24</v>
      </c>
    </row>
    <row r="15" spans="1:15" ht="15.75" x14ac:dyDescent="0.25">
      <c r="A15" s="882" t="s">
        <v>1205</v>
      </c>
      <c r="B15" s="865" t="s">
        <v>14</v>
      </c>
      <c r="C15" s="866">
        <v>0</v>
      </c>
      <c r="D15" s="650">
        <v>0.35</v>
      </c>
      <c r="E15" s="217">
        <f t="shared" si="0"/>
        <v>0.35</v>
      </c>
      <c r="F15" s="870">
        <f>K15</f>
        <v>0.8</v>
      </c>
      <c r="G15" s="892">
        <f t="shared" si="1"/>
        <v>0.27999999999999997</v>
      </c>
      <c r="I15" t="s">
        <v>1283</v>
      </c>
      <c r="J15" t="s">
        <v>1218</v>
      </c>
      <c r="K15" s="900">
        <f>16/20</f>
        <v>0.8</v>
      </c>
    </row>
    <row r="16" spans="1:15" ht="15.75" x14ac:dyDescent="0.25">
      <c r="A16" s="869" t="s">
        <v>1206</v>
      </c>
      <c r="B16" s="865" t="s">
        <v>3</v>
      </c>
      <c r="C16" s="866">
        <v>0</v>
      </c>
      <c r="D16" s="650">
        <v>1</v>
      </c>
      <c r="E16" s="217">
        <f t="shared" si="0"/>
        <v>1</v>
      </c>
      <c r="F16" s="870">
        <f>K16</f>
        <v>1</v>
      </c>
      <c r="G16" s="892">
        <f t="shared" si="1"/>
        <v>1</v>
      </c>
      <c r="I16" t="s">
        <v>1284</v>
      </c>
      <c r="J16" t="s">
        <v>1219</v>
      </c>
      <c r="K16" s="900">
        <f>25/25</f>
        <v>1</v>
      </c>
    </row>
    <row r="17" spans="1:16" ht="16.5" thickBot="1" x14ac:dyDescent="0.3">
      <c r="A17" s="871"/>
      <c r="B17" s="872"/>
      <c r="C17" s="873">
        <v>0</v>
      </c>
      <c r="D17" s="221">
        <v>0</v>
      </c>
      <c r="E17" s="221">
        <f>SUM(D17+C17*D17)</f>
        <v>0</v>
      </c>
      <c r="F17" s="874">
        <v>0</v>
      </c>
      <c r="G17" s="893">
        <f t="shared" si="1"/>
        <v>0</v>
      </c>
    </row>
    <row r="18" spans="1:16" ht="16.5" thickTop="1" thickBot="1" x14ac:dyDescent="0.3"/>
    <row r="19" spans="1:16" ht="17.25" thickTop="1" thickBot="1" x14ac:dyDescent="0.3">
      <c r="E19" s="1181" t="s">
        <v>1182</v>
      </c>
      <c r="F19" s="1182"/>
      <c r="G19" s="875">
        <f>SUM(G6:G17)</f>
        <v>14.819461538461539</v>
      </c>
    </row>
    <row r="20" spans="1:16" ht="17.25" thickTop="1" thickBot="1" x14ac:dyDescent="0.3">
      <c r="A20" s="204"/>
      <c r="B20" s="208"/>
      <c r="C20" s="204"/>
    </row>
    <row r="21" spans="1:16" ht="17.25" thickTop="1" thickBot="1" x14ac:dyDescent="0.3">
      <c r="A21" s="8" t="s">
        <v>1177</v>
      </c>
      <c r="B21" s="862" t="s">
        <v>3</v>
      </c>
      <c r="C21" s="1181" t="s">
        <v>334</v>
      </c>
      <c r="D21" s="1182"/>
      <c r="E21" s="858" t="s">
        <v>7</v>
      </c>
      <c r="F21" s="858" t="s">
        <v>614</v>
      </c>
      <c r="G21" s="20"/>
    </row>
    <row r="22" spans="1:16" ht="16.5" thickTop="1" x14ac:dyDescent="0.25">
      <c r="A22" s="876"/>
      <c r="B22" s="865"/>
      <c r="C22" s="1407">
        <v>0</v>
      </c>
      <c r="D22" s="1408"/>
      <c r="E22" s="897">
        <v>0</v>
      </c>
      <c r="F22" s="877">
        <f>E22*C22</f>
        <v>0</v>
      </c>
    </row>
    <row r="23" spans="1:16" ht="15.75" x14ac:dyDescent="0.25">
      <c r="A23" s="867"/>
      <c r="B23" s="865"/>
      <c r="C23" s="1413">
        <v>0</v>
      </c>
      <c r="D23" s="1414"/>
      <c r="E23" s="899">
        <v>0</v>
      </c>
      <c r="F23" s="878">
        <f>E23*C23</f>
        <v>0</v>
      </c>
      <c r="P23" s="888"/>
    </row>
    <row r="24" spans="1:16" ht="15.75" x14ac:dyDescent="0.25">
      <c r="A24" s="867"/>
      <c r="B24" s="865"/>
      <c r="C24" s="1413">
        <v>0</v>
      </c>
      <c r="D24" s="1414"/>
      <c r="E24" s="899">
        <v>0</v>
      </c>
      <c r="F24" s="878">
        <f>E24*C24</f>
        <v>0</v>
      </c>
      <c r="G24" s="20"/>
      <c r="I24" s="20"/>
      <c r="K24" s="204"/>
      <c r="L24" s="204"/>
      <c r="N24" s="206"/>
      <c r="P24" s="888"/>
    </row>
    <row r="25" spans="1:16" ht="16.5" thickBot="1" x14ac:dyDescent="0.3">
      <c r="A25" s="879"/>
      <c r="B25" s="872"/>
      <c r="C25" s="1391">
        <v>0</v>
      </c>
      <c r="D25" s="1392"/>
      <c r="E25" s="898">
        <v>0</v>
      </c>
      <c r="F25" s="880">
        <f>E25*C25</f>
        <v>0</v>
      </c>
      <c r="G25" s="20"/>
      <c r="P25" s="888"/>
    </row>
    <row r="26" spans="1:16" ht="16.5" thickTop="1" thickBot="1" x14ac:dyDescent="0.3">
      <c r="P26" s="888"/>
    </row>
    <row r="27" spans="1:16" ht="17.25" thickTop="1" thickBot="1" x14ac:dyDescent="0.3">
      <c r="A27" s="204"/>
      <c r="B27" s="208"/>
      <c r="C27" s="204"/>
      <c r="D27" s="204"/>
      <c r="E27" s="1181" t="s">
        <v>1178</v>
      </c>
      <c r="F27" s="1182"/>
      <c r="G27" s="875">
        <f>SUM(F22:F25)</f>
        <v>0</v>
      </c>
      <c r="P27" s="888"/>
    </row>
    <row r="28" spans="1:16" ht="16.5" thickTop="1" thickBot="1" x14ac:dyDescent="0.3">
      <c r="G28" s="20"/>
      <c r="P28" s="888"/>
    </row>
    <row r="29" spans="1:16" ht="17.25" thickTop="1" thickBot="1" x14ac:dyDescent="0.3">
      <c r="A29" s="1181" t="s">
        <v>193</v>
      </c>
      <c r="B29" s="1182"/>
      <c r="C29" s="1181" t="s">
        <v>1179</v>
      </c>
      <c r="D29" s="1182"/>
      <c r="E29" s="858" t="s">
        <v>1180</v>
      </c>
      <c r="F29" s="858" t="s">
        <v>614</v>
      </c>
      <c r="G29" s="20"/>
      <c r="P29" s="888"/>
    </row>
    <row r="30" spans="1:16" ht="16.5" thickTop="1" x14ac:dyDescent="0.25">
      <c r="A30" s="1393" t="s">
        <v>193</v>
      </c>
      <c r="B30" s="1394"/>
      <c r="C30" s="1395">
        <v>0.9</v>
      </c>
      <c r="D30" s="1396"/>
      <c r="E30" s="250">
        <v>25.8</v>
      </c>
      <c r="F30" s="885">
        <f>E30*C30</f>
        <v>23.220000000000002</v>
      </c>
      <c r="G30" s="20"/>
      <c r="N30" s="886"/>
      <c r="P30" s="888"/>
    </row>
    <row r="31" spans="1:16" ht="17.25" customHeight="1" x14ac:dyDescent="0.25">
      <c r="A31" s="1409"/>
      <c r="B31" s="1410"/>
      <c r="C31" s="1411">
        <v>0</v>
      </c>
      <c r="D31" s="1412"/>
      <c r="E31" s="868">
        <v>0</v>
      </c>
      <c r="F31" s="887">
        <f>E31*C31</f>
        <v>0</v>
      </c>
      <c r="G31" s="20"/>
      <c r="P31" s="888"/>
    </row>
    <row r="32" spans="1:16" ht="15.75" x14ac:dyDescent="0.25">
      <c r="A32" s="1409"/>
      <c r="B32" s="1410"/>
      <c r="C32" s="1411">
        <v>0</v>
      </c>
      <c r="D32" s="1412"/>
      <c r="E32" s="868">
        <v>0</v>
      </c>
      <c r="F32" s="887">
        <f>E32*C32</f>
        <v>0</v>
      </c>
      <c r="G32" s="20"/>
      <c r="N32" s="886"/>
      <c r="P32" s="888"/>
    </row>
    <row r="33" spans="1:16" ht="16.5" thickBot="1" x14ac:dyDescent="0.3">
      <c r="A33" s="1415"/>
      <c r="B33" s="1416"/>
      <c r="C33" s="1417">
        <v>0</v>
      </c>
      <c r="D33" s="1418"/>
      <c r="E33" s="874">
        <v>0</v>
      </c>
      <c r="F33" s="889">
        <f>E33*C33</f>
        <v>0</v>
      </c>
      <c r="G33" s="20"/>
      <c r="P33" s="888"/>
    </row>
    <row r="34" spans="1:16" ht="17.25" thickTop="1" thickBot="1" x14ac:dyDescent="0.3">
      <c r="A34" s="204"/>
      <c r="B34" s="208"/>
      <c r="N34" s="886"/>
      <c r="P34" s="888"/>
    </row>
    <row r="35" spans="1:16" ht="17.25" thickTop="1" thickBot="1" x14ac:dyDescent="0.3">
      <c r="A35" s="20"/>
      <c r="B35" s="39"/>
      <c r="C35" s="20"/>
      <c r="D35" s="20"/>
      <c r="E35" s="1181" t="s">
        <v>1183</v>
      </c>
      <c r="F35" s="1182"/>
      <c r="G35" s="875">
        <f>SUM(F30:F33)</f>
        <v>23.220000000000002</v>
      </c>
      <c r="L35" s="888"/>
      <c r="N35" s="888"/>
    </row>
    <row r="36" spans="1:16" ht="16.5" thickTop="1" thickBot="1" x14ac:dyDescent="0.3">
      <c r="A36" s="20"/>
      <c r="B36" s="39"/>
      <c r="C36" s="20"/>
    </row>
    <row r="37" spans="1:16" ht="17.25" customHeight="1" thickTop="1" thickBot="1" x14ac:dyDescent="0.3">
      <c r="D37" s="1384" t="s">
        <v>1181</v>
      </c>
      <c r="E37" s="1385"/>
      <c r="F37" s="1386"/>
      <c r="G37" s="881">
        <f>G19+G27+G35</f>
        <v>38.039461538461538</v>
      </c>
      <c r="I37" s="884"/>
      <c r="J37" s="884"/>
      <c r="K37" s="884"/>
      <c r="L37" s="884"/>
      <c r="M37" s="884"/>
      <c r="N37" s="890"/>
      <c r="P37" s="888"/>
    </row>
    <row r="38" spans="1:16" ht="16.5" thickTop="1" thickBot="1" x14ac:dyDescent="0.3">
      <c r="I38" s="884"/>
      <c r="J38" s="884"/>
      <c r="K38" s="884"/>
      <c r="L38" s="890"/>
      <c r="M38" s="884"/>
      <c r="N38" s="891"/>
    </row>
    <row r="39" spans="1:16" ht="17.25" thickTop="1" thickBot="1" x14ac:dyDescent="0.3">
      <c r="A39" s="1384" t="s">
        <v>1190</v>
      </c>
      <c r="B39" s="1385"/>
      <c r="C39" s="1386"/>
      <c r="D39" s="896">
        <f>G280</f>
        <v>1.375</v>
      </c>
      <c r="G39" s="881">
        <f>G37*D39</f>
        <v>52.304259615384616</v>
      </c>
    </row>
    <row r="40" spans="1:16" ht="15.75" thickTop="1" x14ac:dyDescent="0.25"/>
    <row r="44" spans="1:16" ht="15.75" thickBot="1" x14ac:dyDescent="0.3"/>
    <row r="45" spans="1:16" ht="17.25" thickTop="1" thickBot="1" x14ac:dyDescent="0.3">
      <c r="A45" s="1397" t="s">
        <v>1175</v>
      </c>
      <c r="B45" s="1399" t="s">
        <v>1289</v>
      </c>
      <c r="C45" s="1399"/>
      <c r="D45" s="1400"/>
      <c r="E45" s="860" t="s">
        <v>57</v>
      </c>
      <c r="F45" s="1403">
        <f ca="1">TODAY()</f>
        <v>46093</v>
      </c>
      <c r="G45" s="1404"/>
    </row>
    <row r="46" spans="1:16" ht="17.25" thickTop="1" thickBot="1" x14ac:dyDescent="0.3">
      <c r="A46" s="1398"/>
      <c r="B46" s="1401"/>
      <c r="C46" s="1401"/>
      <c r="D46" s="1402"/>
      <c r="E46" s="861" t="s">
        <v>1176</v>
      </c>
      <c r="F46" s="1405" t="s">
        <v>12</v>
      </c>
      <c r="G46" s="1406"/>
    </row>
    <row r="47" spans="1:16" ht="17.25" thickTop="1" thickBot="1" x14ac:dyDescent="0.3">
      <c r="A47" s="204"/>
      <c r="B47" s="208"/>
      <c r="C47" s="204"/>
      <c r="D47" s="204"/>
      <c r="E47" s="204"/>
      <c r="F47" s="204"/>
      <c r="G47" s="20"/>
    </row>
    <row r="48" spans="1:16" ht="33" thickTop="1" thickBot="1" x14ac:dyDescent="0.3">
      <c r="A48" s="8" t="s">
        <v>612</v>
      </c>
      <c r="B48" s="862" t="s">
        <v>3</v>
      </c>
      <c r="C48" s="8" t="s">
        <v>622</v>
      </c>
      <c r="D48" s="863" t="s">
        <v>334</v>
      </c>
      <c r="E48" s="864" t="s">
        <v>1107</v>
      </c>
      <c r="F48" s="858" t="s">
        <v>7</v>
      </c>
      <c r="G48" s="858" t="s">
        <v>614</v>
      </c>
    </row>
    <row r="49" spans="1:15" ht="16.5" thickTop="1" x14ac:dyDescent="0.25">
      <c r="A49" s="876" t="s">
        <v>1196</v>
      </c>
      <c r="B49" s="865" t="s">
        <v>12</v>
      </c>
      <c r="C49" s="223">
        <v>0</v>
      </c>
      <c r="D49" s="665">
        <v>1.05</v>
      </c>
      <c r="E49" s="906">
        <f t="shared" ref="E49:E59" si="2">SUM(D49+C49*D49)</f>
        <v>1.05</v>
      </c>
      <c r="F49" s="907">
        <f>N6</f>
        <v>3.1999999999999997</v>
      </c>
      <c r="G49" s="909">
        <f>F49*E49</f>
        <v>3.36</v>
      </c>
    </row>
    <row r="50" spans="1:15" ht="15.75" x14ac:dyDescent="0.25">
      <c r="A50" s="867" t="s">
        <v>1220</v>
      </c>
      <c r="B50" s="865" t="s">
        <v>11</v>
      </c>
      <c r="C50" s="223">
        <v>0</v>
      </c>
      <c r="D50" s="906">
        <v>0.3</v>
      </c>
      <c r="E50" s="906">
        <f t="shared" si="2"/>
        <v>0.3</v>
      </c>
      <c r="F50" s="901">
        <v>1</v>
      </c>
      <c r="G50" s="910">
        <f>F50*E50</f>
        <v>0.3</v>
      </c>
    </row>
    <row r="51" spans="1:15" ht="15.75" x14ac:dyDescent="0.25">
      <c r="A51" s="867" t="s">
        <v>1200</v>
      </c>
      <c r="B51" s="865" t="s">
        <v>11</v>
      </c>
      <c r="C51" s="223">
        <v>0</v>
      </c>
      <c r="D51" s="906">
        <v>2</v>
      </c>
      <c r="E51" s="906">
        <f t="shared" si="2"/>
        <v>2</v>
      </c>
      <c r="F51" s="901">
        <v>1.1000000000000001</v>
      </c>
      <c r="G51" s="910">
        <f>F51*E51</f>
        <v>2.2000000000000002</v>
      </c>
    </row>
    <row r="52" spans="1:15" ht="15.75" x14ac:dyDescent="0.25">
      <c r="A52" s="867" t="s">
        <v>1221</v>
      </c>
      <c r="B52" s="865" t="s">
        <v>3</v>
      </c>
      <c r="C52" s="223">
        <v>0</v>
      </c>
      <c r="D52" s="906">
        <v>1.8</v>
      </c>
      <c r="E52" s="906">
        <f t="shared" si="2"/>
        <v>1.8</v>
      </c>
      <c r="F52" s="901">
        <f>K52</f>
        <v>0.152</v>
      </c>
      <c r="G52" s="910">
        <f>F52*E52</f>
        <v>0.27360000000000001</v>
      </c>
      <c r="I52" t="s">
        <v>1285</v>
      </c>
      <c r="J52" t="s">
        <v>1286</v>
      </c>
      <c r="K52" s="1560">
        <f>38/250</f>
        <v>0.152</v>
      </c>
      <c r="N52" s="900"/>
      <c r="O52" s="118"/>
    </row>
    <row r="53" spans="1:15" ht="15.75" x14ac:dyDescent="0.25">
      <c r="A53" s="867" t="s">
        <v>1201</v>
      </c>
      <c r="B53" s="865" t="s">
        <v>3</v>
      </c>
      <c r="C53" s="223">
        <v>0</v>
      </c>
      <c r="D53" s="906">
        <v>12</v>
      </c>
      <c r="E53" s="906">
        <f t="shared" si="2"/>
        <v>12</v>
      </c>
      <c r="F53" s="901">
        <v>1.2E-2</v>
      </c>
      <c r="G53" s="910">
        <f t="shared" ref="G53:G60" si="3">F53*E53</f>
        <v>0.14400000000000002</v>
      </c>
    </row>
    <row r="54" spans="1:15" ht="15.75" x14ac:dyDescent="0.25">
      <c r="A54" s="867" t="s">
        <v>1203</v>
      </c>
      <c r="B54" s="865" t="s">
        <v>11</v>
      </c>
      <c r="C54" s="223">
        <v>0</v>
      </c>
      <c r="D54" s="906">
        <v>1.6</v>
      </c>
      <c r="E54" s="906">
        <f t="shared" si="2"/>
        <v>1.6</v>
      </c>
      <c r="F54" s="901">
        <v>0.1</v>
      </c>
      <c r="G54" s="910">
        <f t="shared" si="3"/>
        <v>0.16000000000000003</v>
      </c>
    </row>
    <row r="55" spans="1:15" ht="15.75" x14ac:dyDescent="0.25">
      <c r="A55" s="869" t="s">
        <v>1205</v>
      </c>
      <c r="B55" s="865" t="s">
        <v>14</v>
      </c>
      <c r="C55" s="866">
        <v>0</v>
      </c>
      <c r="D55" s="906">
        <v>0.35</v>
      </c>
      <c r="E55" s="906">
        <f t="shared" si="2"/>
        <v>0.35</v>
      </c>
      <c r="F55" s="908">
        <v>0.8</v>
      </c>
      <c r="G55" s="910">
        <f t="shared" si="3"/>
        <v>0.27999999999999997</v>
      </c>
    </row>
    <row r="56" spans="1:15" ht="15.75" x14ac:dyDescent="0.25">
      <c r="A56" s="867"/>
      <c r="B56" s="865"/>
      <c r="C56" s="223">
        <v>0</v>
      </c>
      <c r="D56" s="650">
        <v>0</v>
      </c>
      <c r="E56" s="650">
        <f t="shared" si="2"/>
        <v>0</v>
      </c>
      <c r="F56" s="868">
        <v>0</v>
      </c>
      <c r="G56" s="892">
        <f t="shared" si="3"/>
        <v>0</v>
      </c>
    </row>
    <row r="57" spans="1:15" ht="15.75" x14ac:dyDescent="0.25">
      <c r="A57" s="869"/>
      <c r="B57" s="865"/>
      <c r="C57" s="866">
        <v>0</v>
      </c>
      <c r="D57" s="650">
        <v>0</v>
      </c>
      <c r="E57" s="217">
        <f t="shared" si="2"/>
        <v>0</v>
      </c>
      <c r="F57" s="870">
        <v>0</v>
      </c>
      <c r="G57" s="892">
        <f t="shared" si="3"/>
        <v>0</v>
      </c>
    </row>
    <row r="58" spans="1:15" ht="15.75" x14ac:dyDescent="0.25">
      <c r="A58" s="882"/>
      <c r="B58" s="865"/>
      <c r="C58" s="866">
        <v>0</v>
      </c>
      <c r="D58" s="650">
        <v>0</v>
      </c>
      <c r="E58" s="217">
        <f t="shared" si="2"/>
        <v>0</v>
      </c>
      <c r="F58" s="870">
        <v>0</v>
      </c>
      <c r="G58" s="892">
        <f t="shared" si="3"/>
        <v>0</v>
      </c>
    </row>
    <row r="59" spans="1:15" ht="15.75" x14ac:dyDescent="0.25">
      <c r="A59" s="869"/>
      <c r="B59" s="865"/>
      <c r="C59" s="866">
        <v>0</v>
      </c>
      <c r="D59" s="650">
        <v>0</v>
      </c>
      <c r="E59" s="217">
        <f t="shared" si="2"/>
        <v>0</v>
      </c>
      <c r="F59" s="870">
        <v>0</v>
      </c>
      <c r="G59" s="892">
        <f t="shared" si="3"/>
        <v>0</v>
      </c>
    </row>
    <row r="60" spans="1:15" ht="16.5" thickBot="1" x14ac:dyDescent="0.3">
      <c r="A60" s="871"/>
      <c r="B60" s="872"/>
      <c r="C60" s="873">
        <v>0</v>
      </c>
      <c r="D60" s="221">
        <v>0</v>
      </c>
      <c r="E60" s="221">
        <f>SUM(D60+C60*D60)</f>
        <v>0</v>
      </c>
      <c r="F60" s="874">
        <v>0</v>
      </c>
      <c r="G60" s="893">
        <f t="shared" si="3"/>
        <v>0</v>
      </c>
    </row>
    <row r="61" spans="1:15" ht="16.5" thickTop="1" thickBot="1" x14ac:dyDescent="0.3"/>
    <row r="62" spans="1:15" ht="17.25" thickTop="1" thickBot="1" x14ac:dyDescent="0.3">
      <c r="E62" s="1181" t="s">
        <v>1182</v>
      </c>
      <c r="F62" s="1182"/>
      <c r="G62" s="875">
        <f>SUM(G49:G60)</f>
        <v>6.7176</v>
      </c>
    </row>
    <row r="63" spans="1:15" ht="17.25" thickTop="1" thickBot="1" x14ac:dyDescent="0.3">
      <c r="A63" s="204"/>
      <c r="B63" s="208"/>
      <c r="C63" s="204"/>
    </row>
    <row r="64" spans="1:15" ht="17.25" thickTop="1" thickBot="1" x14ac:dyDescent="0.3">
      <c r="A64" s="8" t="s">
        <v>1177</v>
      </c>
      <c r="B64" s="862" t="s">
        <v>3</v>
      </c>
      <c r="C64" s="1181" t="s">
        <v>334</v>
      </c>
      <c r="D64" s="1182"/>
      <c r="E64" s="858" t="s">
        <v>7</v>
      </c>
      <c r="F64" s="858" t="s">
        <v>614</v>
      </c>
      <c r="G64" s="20"/>
    </row>
    <row r="65" spans="1:7" ht="16.5" thickTop="1" x14ac:dyDescent="0.25">
      <c r="A65" s="876"/>
      <c r="B65" s="865"/>
      <c r="C65" s="1407">
        <v>0</v>
      </c>
      <c r="D65" s="1408"/>
      <c r="E65" s="897">
        <v>0</v>
      </c>
      <c r="F65" s="877">
        <f>E65*C65</f>
        <v>0</v>
      </c>
    </row>
    <row r="66" spans="1:7" ht="15.75" x14ac:dyDescent="0.25">
      <c r="A66" s="867"/>
      <c r="B66" s="865"/>
      <c r="C66" s="1413">
        <v>0</v>
      </c>
      <c r="D66" s="1414"/>
      <c r="E66" s="899">
        <v>0</v>
      </c>
      <c r="F66" s="878">
        <f>E66*C66</f>
        <v>0</v>
      </c>
    </row>
    <row r="67" spans="1:7" ht="15.75" x14ac:dyDescent="0.25">
      <c r="A67" s="867"/>
      <c r="B67" s="865"/>
      <c r="C67" s="1413">
        <v>0</v>
      </c>
      <c r="D67" s="1414"/>
      <c r="E67" s="899">
        <v>0</v>
      </c>
      <c r="F67" s="878">
        <f>E67*C67</f>
        <v>0</v>
      </c>
      <c r="G67" s="20"/>
    </row>
    <row r="68" spans="1:7" ht="16.5" thickBot="1" x14ac:dyDescent="0.3">
      <c r="A68" s="879"/>
      <c r="B68" s="872"/>
      <c r="C68" s="1391">
        <v>0</v>
      </c>
      <c r="D68" s="1392"/>
      <c r="E68" s="898">
        <v>0</v>
      </c>
      <c r="F68" s="880">
        <f>E68*C68</f>
        <v>0</v>
      </c>
      <c r="G68" s="20"/>
    </row>
    <row r="69" spans="1:7" ht="16.5" thickTop="1" thickBot="1" x14ac:dyDescent="0.3"/>
    <row r="70" spans="1:7" ht="17.25" thickTop="1" thickBot="1" x14ac:dyDescent="0.3">
      <c r="A70" s="204"/>
      <c r="B70" s="208"/>
      <c r="C70" s="204"/>
      <c r="D70" s="204"/>
      <c r="E70" s="1181" t="s">
        <v>1178</v>
      </c>
      <c r="F70" s="1182"/>
      <c r="G70" s="875">
        <f>SUM(F65:F68)</f>
        <v>0</v>
      </c>
    </row>
    <row r="71" spans="1:7" ht="16.5" thickTop="1" thickBot="1" x14ac:dyDescent="0.3">
      <c r="G71" s="20"/>
    </row>
    <row r="72" spans="1:7" ht="17.25" thickTop="1" thickBot="1" x14ac:dyDescent="0.3">
      <c r="A72" s="1181" t="s">
        <v>193</v>
      </c>
      <c r="B72" s="1182"/>
      <c r="C72" s="1181" t="s">
        <v>1179</v>
      </c>
      <c r="D72" s="1182"/>
      <c r="E72" s="858" t="s">
        <v>1180</v>
      </c>
      <c r="F72" s="858" t="s">
        <v>614</v>
      </c>
      <c r="G72" s="20"/>
    </row>
    <row r="73" spans="1:7" ht="16.5" thickTop="1" x14ac:dyDescent="0.25">
      <c r="A73" s="1393" t="s">
        <v>193</v>
      </c>
      <c r="B73" s="1394"/>
      <c r="C73" s="1395">
        <v>1.35</v>
      </c>
      <c r="D73" s="1396"/>
      <c r="E73" s="250">
        <v>25.8</v>
      </c>
      <c r="F73" s="885">
        <f>E73*C73</f>
        <v>34.830000000000005</v>
      </c>
      <c r="G73" s="20"/>
    </row>
    <row r="74" spans="1:7" ht="15.75" x14ac:dyDescent="0.25">
      <c r="A74" s="1409"/>
      <c r="B74" s="1410"/>
      <c r="C74" s="1411">
        <v>0</v>
      </c>
      <c r="D74" s="1412"/>
      <c r="E74" s="868">
        <v>0</v>
      </c>
      <c r="F74" s="887">
        <f>E74*C74</f>
        <v>0</v>
      </c>
      <c r="G74" s="20"/>
    </row>
    <row r="75" spans="1:7" ht="15.75" x14ac:dyDescent="0.25">
      <c r="A75" s="1409"/>
      <c r="B75" s="1410"/>
      <c r="C75" s="1411">
        <v>0</v>
      </c>
      <c r="D75" s="1412"/>
      <c r="E75" s="868">
        <v>0</v>
      </c>
      <c r="F75" s="887">
        <f>E75*C75</f>
        <v>0</v>
      </c>
      <c r="G75" s="20"/>
    </row>
    <row r="76" spans="1:7" ht="16.5" thickBot="1" x14ac:dyDescent="0.3">
      <c r="A76" s="1415"/>
      <c r="B76" s="1416"/>
      <c r="C76" s="1417">
        <v>0</v>
      </c>
      <c r="D76" s="1418"/>
      <c r="E76" s="874">
        <v>0</v>
      </c>
      <c r="F76" s="889">
        <f>E76*C76</f>
        <v>0</v>
      </c>
      <c r="G76" s="20"/>
    </row>
    <row r="77" spans="1:7" ht="17.25" thickTop="1" thickBot="1" x14ac:dyDescent="0.3">
      <c r="A77" s="204"/>
      <c r="B77" s="208"/>
    </row>
    <row r="78" spans="1:7" ht="17.25" thickTop="1" thickBot="1" x14ac:dyDescent="0.3">
      <c r="A78" s="20"/>
      <c r="B78" s="39"/>
      <c r="C78" s="20"/>
      <c r="D78" s="20"/>
      <c r="E78" s="1181" t="s">
        <v>1183</v>
      </c>
      <c r="F78" s="1182"/>
      <c r="G78" s="875">
        <f>SUM(F73:F76)</f>
        <v>34.830000000000005</v>
      </c>
    </row>
    <row r="79" spans="1:7" ht="16.5" thickTop="1" thickBot="1" x14ac:dyDescent="0.3">
      <c r="A79" s="20"/>
      <c r="B79" s="39"/>
      <c r="C79" s="20"/>
    </row>
    <row r="80" spans="1:7" ht="17.25" thickTop="1" thickBot="1" x14ac:dyDescent="0.3">
      <c r="D80" s="1384" t="s">
        <v>1181</v>
      </c>
      <c r="E80" s="1385"/>
      <c r="F80" s="1386"/>
      <c r="G80" s="881">
        <f>G62+G70+G78</f>
        <v>41.547600000000003</v>
      </c>
    </row>
    <row r="81" spans="1:14" ht="16.5" thickTop="1" thickBot="1" x14ac:dyDescent="0.3"/>
    <row r="82" spans="1:14" ht="17.25" thickTop="1" thickBot="1" x14ac:dyDescent="0.3">
      <c r="A82" s="1384" t="s">
        <v>1190</v>
      </c>
      <c r="B82" s="1385"/>
      <c r="C82" s="1386"/>
      <c r="D82" s="896">
        <f>D39</f>
        <v>1.375</v>
      </c>
      <c r="G82" s="881">
        <f>G80*D82</f>
        <v>57.127950000000006</v>
      </c>
    </row>
    <row r="83" spans="1:14" ht="15.75" thickTop="1" x14ac:dyDescent="0.25"/>
    <row r="87" spans="1:14" ht="15.75" thickBot="1" x14ac:dyDescent="0.3"/>
    <row r="88" spans="1:14" ht="17.25" thickTop="1" thickBot="1" x14ac:dyDescent="0.3">
      <c r="A88" s="1397" t="s">
        <v>1175</v>
      </c>
      <c r="B88" s="1399" t="s">
        <v>1290</v>
      </c>
      <c r="C88" s="1399"/>
      <c r="D88" s="1400"/>
      <c r="E88" s="860" t="s">
        <v>57</v>
      </c>
      <c r="F88" s="1403">
        <f ca="1">TODAY()</f>
        <v>46093</v>
      </c>
      <c r="G88" s="1404"/>
    </row>
    <row r="89" spans="1:14" ht="17.25" thickTop="1" thickBot="1" x14ac:dyDescent="0.3">
      <c r="A89" s="1398"/>
      <c r="B89" s="1401"/>
      <c r="C89" s="1401"/>
      <c r="D89" s="1402"/>
      <c r="E89" s="861" t="s">
        <v>1176</v>
      </c>
      <c r="F89" s="1405" t="s">
        <v>12</v>
      </c>
      <c r="G89" s="1406"/>
    </row>
    <row r="90" spans="1:14" ht="17.25" thickTop="1" thickBot="1" x14ac:dyDescent="0.3">
      <c r="A90" s="204"/>
      <c r="B90" s="208"/>
      <c r="C90" s="204"/>
      <c r="D90" s="204"/>
      <c r="E90" s="204"/>
      <c r="F90" s="204"/>
      <c r="G90" s="20"/>
    </row>
    <row r="91" spans="1:14" ht="33" thickTop="1" thickBot="1" x14ac:dyDescent="0.3">
      <c r="A91" s="8" t="s">
        <v>612</v>
      </c>
      <c r="B91" s="862" t="s">
        <v>3</v>
      </c>
      <c r="C91" s="8" t="s">
        <v>622</v>
      </c>
      <c r="D91" s="863" t="s">
        <v>334</v>
      </c>
      <c r="E91" s="864" t="s">
        <v>1107</v>
      </c>
      <c r="F91" s="858" t="s">
        <v>7</v>
      </c>
      <c r="G91" s="858" t="s">
        <v>614</v>
      </c>
    </row>
    <row r="92" spans="1:14" ht="16.5" thickTop="1" x14ac:dyDescent="0.25">
      <c r="A92" s="876" t="s">
        <v>1222</v>
      </c>
      <c r="B92" s="865" t="s">
        <v>12</v>
      </c>
      <c r="C92" s="223">
        <v>0.05</v>
      </c>
      <c r="D92" s="883">
        <v>1</v>
      </c>
      <c r="E92" s="650">
        <f t="shared" ref="E92:E102" si="4">SUM(D92+C92*D92)</f>
        <v>1.05</v>
      </c>
      <c r="F92" s="250">
        <f>N92</f>
        <v>8.9912280701754401</v>
      </c>
      <c r="G92" s="877">
        <f>F92*E92</f>
        <v>9.4407894736842124</v>
      </c>
      <c r="I92" t="s">
        <v>1223</v>
      </c>
      <c r="J92">
        <f>1.2*3.8</f>
        <v>4.5599999999999996</v>
      </c>
      <c r="K92" t="s">
        <v>1224</v>
      </c>
      <c r="M92" t="s">
        <v>1225</v>
      </c>
      <c r="N92" s="900">
        <f>41/4.56</f>
        <v>8.9912280701754401</v>
      </c>
    </row>
    <row r="93" spans="1:14" ht="15.75" x14ac:dyDescent="0.25">
      <c r="A93" s="867" t="s">
        <v>1204</v>
      </c>
      <c r="B93" s="865" t="s">
        <v>11</v>
      </c>
      <c r="C93" s="223">
        <v>0</v>
      </c>
      <c r="D93" s="650">
        <v>1.6</v>
      </c>
      <c r="E93" s="650">
        <f t="shared" si="4"/>
        <v>1.6</v>
      </c>
      <c r="F93" s="868">
        <f>J93</f>
        <v>0.24</v>
      </c>
      <c r="G93" s="892">
        <f>F93*E93</f>
        <v>0.38400000000000001</v>
      </c>
      <c r="I93" t="s">
        <v>1226</v>
      </c>
      <c r="J93">
        <f>12/50</f>
        <v>0.24</v>
      </c>
    </row>
    <row r="94" spans="1:14" ht="15.75" x14ac:dyDescent="0.25">
      <c r="A94" s="867"/>
      <c r="B94" s="865"/>
      <c r="C94" s="223">
        <v>0</v>
      </c>
      <c r="D94" s="650">
        <v>0</v>
      </c>
      <c r="E94" s="650">
        <f t="shared" si="4"/>
        <v>0</v>
      </c>
      <c r="F94" s="868">
        <v>0</v>
      </c>
      <c r="G94" s="892">
        <f>F94*E94</f>
        <v>0</v>
      </c>
    </row>
    <row r="95" spans="1:14" ht="15.75" x14ac:dyDescent="0.25">
      <c r="A95" s="867"/>
      <c r="B95" s="865"/>
      <c r="C95" s="223">
        <v>0</v>
      </c>
      <c r="D95" s="650">
        <v>0</v>
      </c>
      <c r="E95" s="650">
        <f t="shared" si="4"/>
        <v>0</v>
      </c>
      <c r="F95" s="868">
        <v>0</v>
      </c>
      <c r="G95" s="892">
        <f>F95*E95</f>
        <v>0</v>
      </c>
    </row>
    <row r="96" spans="1:14" ht="15.75" x14ac:dyDescent="0.25">
      <c r="A96" s="867"/>
      <c r="B96" s="865"/>
      <c r="C96" s="223">
        <v>0</v>
      </c>
      <c r="D96" s="650">
        <v>0</v>
      </c>
      <c r="E96" s="650">
        <f t="shared" si="4"/>
        <v>0</v>
      </c>
      <c r="F96" s="868">
        <v>0</v>
      </c>
      <c r="G96" s="892">
        <f t="shared" ref="G96:G103" si="5">F96*E96</f>
        <v>0</v>
      </c>
    </row>
    <row r="97" spans="1:7" ht="15.75" x14ac:dyDescent="0.25">
      <c r="A97" s="867"/>
      <c r="B97" s="865"/>
      <c r="C97" s="223">
        <v>0</v>
      </c>
      <c r="D97" s="650">
        <v>0</v>
      </c>
      <c r="E97" s="650">
        <f t="shared" si="4"/>
        <v>0</v>
      </c>
      <c r="F97" s="868">
        <v>0</v>
      </c>
      <c r="G97" s="892">
        <f t="shared" si="5"/>
        <v>0</v>
      </c>
    </row>
    <row r="98" spans="1:7" ht="15.75" x14ac:dyDescent="0.25">
      <c r="A98" s="869"/>
      <c r="B98" s="865"/>
      <c r="C98" s="866">
        <v>0</v>
      </c>
      <c r="D98" s="650">
        <v>0</v>
      </c>
      <c r="E98" s="217">
        <f t="shared" si="4"/>
        <v>0</v>
      </c>
      <c r="F98" s="870">
        <v>0</v>
      </c>
      <c r="G98" s="892">
        <f t="shared" si="5"/>
        <v>0</v>
      </c>
    </row>
    <row r="99" spans="1:7" ht="15.75" x14ac:dyDescent="0.25">
      <c r="A99" s="867"/>
      <c r="B99" s="865"/>
      <c r="C99" s="223">
        <v>0</v>
      </c>
      <c r="D99" s="650">
        <v>0</v>
      </c>
      <c r="E99" s="650">
        <f t="shared" si="4"/>
        <v>0</v>
      </c>
      <c r="F99" s="868">
        <v>0</v>
      </c>
      <c r="G99" s="892">
        <f t="shared" si="5"/>
        <v>0</v>
      </c>
    </row>
    <row r="100" spans="1:7" ht="15.75" x14ac:dyDescent="0.25">
      <c r="A100" s="869"/>
      <c r="B100" s="865"/>
      <c r="C100" s="866">
        <v>0</v>
      </c>
      <c r="D100" s="650">
        <v>0</v>
      </c>
      <c r="E100" s="217">
        <f t="shared" si="4"/>
        <v>0</v>
      </c>
      <c r="F100" s="870">
        <v>0</v>
      </c>
      <c r="G100" s="892">
        <f t="shared" si="5"/>
        <v>0</v>
      </c>
    </row>
    <row r="101" spans="1:7" ht="15.75" x14ac:dyDescent="0.25">
      <c r="A101" s="882"/>
      <c r="B101" s="865"/>
      <c r="C101" s="866">
        <v>0</v>
      </c>
      <c r="D101" s="650">
        <v>0</v>
      </c>
      <c r="E101" s="217">
        <f t="shared" si="4"/>
        <v>0</v>
      </c>
      <c r="F101" s="870">
        <v>0</v>
      </c>
      <c r="G101" s="892">
        <f t="shared" si="5"/>
        <v>0</v>
      </c>
    </row>
    <row r="102" spans="1:7" ht="15.75" x14ac:dyDescent="0.25">
      <c r="A102" s="869"/>
      <c r="B102" s="865"/>
      <c r="C102" s="866">
        <v>0</v>
      </c>
      <c r="D102" s="650">
        <v>0</v>
      </c>
      <c r="E102" s="217">
        <f t="shared" si="4"/>
        <v>0</v>
      </c>
      <c r="F102" s="870">
        <v>0</v>
      </c>
      <c r="G102" s="892">
        <f t="shared" si="5"/>
        <v>0</v>
      </c>
    </row>
    <row r="103" spans="1:7" ht="16.5" thickBot="1" x14ac:dyDescent="0.3">
      <c r="A103" s="871"/>
      <c r="B103" s="872"/>
      <c r="C103" s="873">
        <v>0</v>
      </c>
      <c r="D103" s="221">
        <v>0</v>
      </c>
      <c r="E103" s="221">
        <f>SUM(D103+C103*D103)</f>
        <v>0</v>
      </c>
      <c r="F103" s="874">
        <v>0</v>
      </c>
      <c r="G103" s="893">
        <f t="shared" si="5"/>
        <v>0</v>
      </c>
    </row>
    <row r="104" spans="1:7" ht="16.5" thickTop="1" thickBot="1" x14ac:dyDescent="0.3"/>
    <row r="105" spans="1:7" ht="17.25" thickTop="1" thickBot="1" x14ac:dyDescent="0.3">
      <c r="E105" s="1181" t="s">
        <v>1182</v>
      </c>
      <c r="F105" s="1182"/>
      <c r="G105" s="875">
        <f>SUM(G92:G103)</f>
        <v>9.8247894736842127</v>
      </c>
    </row>
    <row r="106" spans="1:7" ht="17.25" thickTop="1" thickBot="1" x14ac:dyDescent="0.3">
      <c r="A106" s="204"/>
      <c r="B106" s="208"/>
      <c r="C106" s="204"/>
    </row>
    <row r="107" spans="1:7" ht="17.25" thickTop="1" thickBot="1" x14ac:dyDescent="0.3">
      <c r="A107" s="8" t="s">
        <v>1177</v>
      </c>
      <c r="B107" s="862" t="s">
        <v>3</v>
      </c>
      <c r="C107" s="1181" t="s">
        <v>334</v>
      </c>
      <c r="D107" s="1182"/>
      <c r="E107" s="858" t="s">
        <v>7</v>
      </c>
      <c r="F107" s="858" t="s">
        <v>614</v>
      </c>
      <c r="G107" s="20"/>
    </row>
    <row r="108" spans="1:7" ht="16.5" thickTop="1" x14ac:dyDescent="0.25">
      <c r="A108" s="876"/>
      <c r="B108" s="865"/>
      <c r="C108" s="1407">
        <v>0</v>
      </c>
      <c r="D108" s="1408"/>
      <c r="E108" s="897">
        <v>0</v>
      </c>
      <c r="F108" s="877">
        <f>E108*C108</f>
        <v>0</v>
      </c>
    </row>
    <row r="109" spans="1:7" ht="15.75" x14ac:dyDescent="0.25">
      <c r="A109" s="867"/>
      <c r="B109" s="865"/>
      <c r="C109" s="1413">
        <v>0</v>
      </c>
      <c r="D109" s="1414"/>
      <c r="E109" s="899">
        <v>0</v>
      </c>
      <c r="F109" s="878">
        <f>E109*C109</f>
        <v>0</v>
      </c>
    </row>
    <row r="110" spans="1:7" ht="15.75" x14ac:dyDescent="0.25">
      <c r="A110" s="867"/>
      <c r="B110" s="865"/>
      <c r="C110" s="1413">
        <v>0</v>
      </c>
      <c r="D110" s="1414"/>
      <c r="E110" s="899">
        <v>0</v>
      </c>
      <c r="F110" s="878">
        <f>E110*C110</f>
        <v>0</v>
      </c>
      <c r="G110" s="20"/>
    </row>
    <row r="111" spans="1:7" ht="16.5" thickBot="1" x14ac:dyDescent="0.3">
      <c r="A111" s="879"/>
      <c r="B111" s="872"/>
      <c r="C111" s="1391">
        <v>0</v>
      </c>
      <c r="D111" s="1392"/>
      <c r="E111" s="898">
        <v>0</v>
      </c>
      <c r="F111" s="880">
        <f>E111*C111</f>
        <v>0</v>
      </c>
      <c r="G111" s="20"/>
    </row>
    <row r="112" spans="1:7" ht="16.5" thickTop="1" thickBot="1" x14ac:dyDescent="0.3"/>
    <row r="113" spans="1:7" ht="17.25" thickTop="1" thickBot="1" x14ac:dyDescent="0.3">
      <c r="A113" s="204"/>
      <c r="B113" s="208"/>
      <c r="C113" s="204"/>
      <c r="D113" s="204"/>
      <c r="E113" s="1181" t="s">
        <v>1178</v>
      </c>
      <c r="F113" s="1182"/>
      <c r="G113" s="875">
        <f>SUM(F108:F111)</f>
        <v>0</v>
      </c>
    </row>
    <row r="114" spans="1:7" ht="16.5" thickTop="1" thickBot="1" x14ac:dyDescent="0.3">
      <c r="G114" s="20"/>
    </row>
    <row r="115" spans="1:7" ht="17.25" thickTop="1" thickBot="1" x14ac:dyDescent="0.3">
      <c r="A115" s="1181" t="s">
        <v>193</v>
      </c>
      <c r="B115" s="1182"/>
      <c r="C115" s="1181" t="s">
        <v>1179</v>
      </c>
      <c r="D115" s="1182"/>
      <c r="E115" s="858" t="s">
        <v>1180</v>
      </c>
      <c r="F115" s="858" t="s">
        <v>614</v>
      </c>
      <c r="G115" s="20"/>
    </row>
    <row r="116" spans="1:7" ht="16.5" thickTop="1" x14ac:dyDescent="0.25">
      <c r="A116" s="1393" t="s">
        <v>193</v>
      </c>
      <c r="B116" s="1394"/>
      <c r="C116" s="1395">
        <v>0.3</v>
      </c>
      <c r="D116" s="1396"/>
      <c r="E116" s="250">
        <v>25.8</v>
      </c>
      <c r="F116" s="885">
        <f>E116*C116</f>
        <v>7.74</v>
      </c>
      <c r="G116" s="20"/>
    </row>
    <row r="117" spans="1:7" ht="15.75" x14ac:dyDescent="0.25">
      <c r="A117" s="1409"/>
      <c r="B117" s="1410"/>
      <c r="C117" s="1411">
        <v>0</v>
      </c>
      <c r="D117" s="1412"/>
      <c r="E117" s="868">
        <v>0</v>
      </c>
      <c r="F117" s="887">
        <f>E117*C117</f>
        <v>0</v>
      </c>
      <c r="G117" s="20"/>
    </row>
    <row r="118" spans="1:7" ht="15.75" x14ac:dyDescent="0.25">
      <c r="A118" s="1409"/>
      <c r="B118" s="1410"/>
      <c r="C118" s="1411">
        <v>0</v>
      </c>
      <c r="D118" s="1412"/>
      <c r="E118" s="868">
        <v>0</v>
      </c>
      <c r="F118" s="887">
        <f>E118*C118</f>
        <v>0</v>
      </c>
      <c r="G118" s="20"/>
    </row>
    <row r="119" spans="1:7" ht="16.5" thickBot="1" x14ac:dyDescent="0.3">
      <c r="A119" s="1415"/>
      <c r="B119" s="1416"/>
      <c r="C119" s="1417">
        <v>0</v>
      </c>
      <c r="D119" s="1418"/>
      <c r="E119" s="874">
        <v>0</v>
      </c>
      <c r="F119" s="889">
        <f>E119*C119</f>
        <v>0</v>
      </c>
      <c r="G119" s="20"/>
    </row>
    <row r="120" spans="1:7" ht="17.25" thickTop="1" thickBot="1" x14ac:dyDescent="0.3">
      <c r="A120" s="204"/>
      <c r="B120" s="208"/>
    </row>
    <row r="121" spans="1:7" ht="17.25" thickTop="1" thickBot="1" x14ac:dyDescent="0.3">
      <c r="A121" s="20"/>
      <c r="B121" s="39"/>
      <c r="C121" s="20"/>
      <c r="D121" s="20"/>
      <c r="E121" s="1181" t="s">
        <v>1183</v>
      </c>
      <c r="F121" s="1182"/>
      <c r="G121" s="875">
        <f>SUM(F116:F119)</f>
        <v>7.74</v>
      </c>
    </row>
    <row r="122" spans="1:7" ht="16.5" thickTop="1" thickBot="1" x14ac:dyDescent="0.3">
      <c r="A122" s="20"/>
      <c r="B122" s="39"/>
      <c r="C122" s="20"/>
    </row>
    <row r="123" spans="1:7" ht="17.25" thickTop="1" thickBot="1" x14ac:dyDescent="0.3">
      <c r="D123" s="1384" t="s">
        <v>1181</v>
      </c>
      <c r="E123" s="1385"/>
      <c r="F123" s="1386"/>
      <c r="G123" s="881">
        <f>G105+G113+G121</f>
        <v>17.564789473684215</v>
      </c>
    </row>
    <row r="124" spans="1:7" ht="16.5" thickTop="1" thickBot="1" x14ac:dyDescent="0.3"/>
    <row r="125" spans="1:7" ht="17.25" thickTop="1" thickBot="1" x14ac:dyDescent="0.3">
      <c r="A125" s="1384" t="s">
        <v>1190</v>
      </c>
      <c r="B125" s="1385"/>
      <c r="C125" s="1386"/>
      <c r="D125" s="896">
        <f>D39</f>
        <v>1.375</v>
      </c>
      <c r="G125" s="881">
        <f>G123*D125</f>
        <v>24.151585526315795</v>
      </c>
    </row>
    <row r="126" spans="1:7" ht="15.75" thickTop="1" x14ac:dyDescent="0.25"/>
    <row r="130" spans="1:15" ht="15.75" thickBot="1" x14ac:dyDescent="0.3"/>
    <row r="131" spans="1:15" ht="17.25" thickTop="1" thickBot="1" x14ac:dyDescent="0.3">
      <c r="A131" s="1397" t="s">
        <v>1175</v>
      </c>
      <c r="B131" s="1399" t="s">
        <v>1193</v>
      </c>
      <c r="C131" s="1399"/>
      <c r="D131" s="1400"/>
      <c r="E131" s="860" t="s">
        <v>57</v>
      </c>
      <c r="F131" s="1403">
        <f ca="1">TODAY()</f>
        <v>46093</v>
      </c>
      <c r="G131" s="1404"/>
    </row>
    <row r="132" spans="1:15" ht="17.25" thickTop="1" thickBot="1" x14ac:dyDescent="0.3">
      <c r="A132" s="1398"/>
      <c r="B132" s="1401"/>
      <c r="C132" s="1401"/>
      <c r="D132" s="1402"/>
      <c r="E132" s="861" t="s">
        <v>1176</v>
      </c>
      <c r="F132" s="1405" t="s">
        <v>12</v>
      </c>
      <c r="G132" s="1406"/>
    </row>
    <row r="133" spans="1:15" ht="17.25" thickTop="1" thickBot="1" x14ac:dyDescent="0.3">
      <c r="A133" s="204"/>
      <c r="B133" s="208"/>
      <c r="C133" s="204"/>
      <c r="D133" s="204"/>
      <c r="E133" s="204"/>
      <c r="F133" s="204"/>
      <c r="G133" s="20"/>
    </row>
    <row r="134" spans="1:15" ht="33" thickTop="1" thickBot="1" x14ac:dyDescent="0.3">
      <c r="A134" s="8" t="s">
        <v>612</v>
      </c>
      <c r="B134" s="862" t="s">
        <v>3</v>
      </c>
      <c r="C134" s="8" t="s">
        <v>622</v>
      </c>
      <c r="D134" s="863" t="s">
        <v>334</v>
      </c>
      <c r="E134" s="864" t="s">
        <v>1107</v>
      </c>
      <c r="F134" s="858" t="s">
        <v>7</v>
      </c>
      <c r="G134" s="858" t="s">
        <v>614</v>
      </c>
    </row>
    <row r="135" spans="1:15" ht="32.25" thickTop="1" x14ac:dyDescent="0.25">
      <c r="A135" s="911" t="s">
        <v>1227</v>
      </c>
      <c r="B135" s="865" t="s">
        <v>12</v>
      </c>
      <c r="C135" s="866">
        <v>0</v>
      </c>
      <c r="D135" s="220">
        <v>1.05</v>
      </c>
      <c r="E135" s="217">
        <f t="shared" ref="E135:E143" si="6">SUM(D135+C135*D135)</f>
        <v>1.05</v>
      </c>
      <c r="F135" s="912">
        <v>5.2</v>
      </c>
      <c r="G135" s="913">
        <f>F135*E135</f>
        <v>5.4600000000000009</v>
      </c>
      <c r="I135" t="s">
        <v>1207</v>
      </c>
      <c r="J135" s="900">
        <f>1.2*2.5</f>
        <v>3</v>
      </c>
      <c r="M135" t="s">
        <v>1229</v>
      </c>
      <c r="N135" s="900">
        <f>15.6/3</f>
        <v>5.2</v>
      </c>
      <c r="O135" s="118" t="s">
        <v>1210</v>
      </c>
    </row>
    <row r="136" spans="1:15" ht="15.75" x14ac:dyDescent="0.25">
      <c r="A136" s="867" t="s">
        <v>1205</v>
      </c>
      <c r="B136" s="865" t="s">
        <v>14</v>
      </c>
      <c r="C136" s="223">
        <v>0</v>
      </c>
      <c r="D136" s="650">
        <v>0.35</v>
      </c>
      <c r="E136" s="650">
        <f t="shared" si="6"/>
        <v>0.35</v>
      </c>
      <c r="F136" s="868">
        <v>0.8</v>
      </c>
      <c r="G136" s="892">
        <f>F136*E136</f>
        <v>0.27999999999999997</v>
      </c>
      <c r="I136" t="s">
        <v>1218</v>
      </c>
      <c r="J136" s="900">
        <f>16/20</f>
        <v>0.8</v>
      </c>
    </row>
    <row r="137" spans="1:15" ht="15.75" x14ac:dyDescent="0.25">
      <c r="A137" s="867" t="s">
        <v>1288</v>
      </c>
      <c r="B137" s="865" t="s">
        <v>11</v>
      </c>
      <c r="C137" s="223">
        <v>0</v>
      </c>
      <c r="D137" s="650">
        <v>1.5</v>
      </c>
      <c r="E137" s="650">
        <f t="shared" ref="E137" si="7">SUM(D137+C137*D137)</f>
        <v>1.5</v>
      </c>
      <c r="F137" s="868">
        <v>0.1</v>
      </c>
      <c r="G137" s="892">
        <f>F137*E137</f>
        <v>0.15000000000000002</v>
      </c>
      <c r="I137" t="s">
        <v>1215</v>
      </c>
      <c r="J137" s="900">
        <f>15/150</f>
        <v>0.1</v>
      </c>
    </row>
    <row r="138" spans="1:15" ht="15.75" x14ac:dyDescent="0.25">
      <c r="A138" s="867" t="s">
        <v>1287</v>
      </c>
      <c r="B138" s="865" t="s">
        <v>14</v>
      </c>
      <c r="C138" s="223">
        <v>0</v>
      </c>
      <c r="D138" s="650">
        <v>1.8</v>
      </c>
      <c r="E138" s="650">
        <f t="shared" ref="E138" si="8">SUM(D138+C138*D138)</f>
        <v>1.8</v>
      </c>
      <c r="F138" s="868">
        <v>0.5</v>
      </c>
      <c r="G138" s="892">
        <f>F138*E138</f>
        <v>0.9</v>
      </c>
      <c r="I138" t="s">
        <v>1230</v>
      </c>
      <c r="J138">
        <f>10/20</f>
        <v>0.5</v>
      </c>
    </row>
    <row r="139" spans="1:15" ht="15.75" x14ac:dyDescent="0.25">
      <c r="A139" s="869"/>
      <c r="B139" s="865"/>
      <c r="C139" s="866">
        <v>0</v>
      </c>
      <c r="D139" s="650">
        <v>0</v>
      </c>
      <c r="E139" s="217">
        <f t="shared" si="6"/>
        <v>0</v>
      </c>
      <c r="F139" s="870">
        <v>0</v>
      </c>
      <c r="G139" s="892">
        <f t="shared" ref="G139:G144" si="9">F139*E139</f>
        <v>0</v>
      </c>
    </row>
    <row r="140" spans="1:15" ht="15.75" x14ac:dyDescent="0.25">
      <c r="A140" s="867"/>
      <c r="B140" s="865"/>
      <c r="C140" s="223">
        <v>0</v>
      </c>
      <c r="D140" s="650">
        <v>0</v>
      </c>
      <c r="E140" s="650">
        <f t="shared" si="6"/>
        <v>0</v>
      </c>
      <c r="F140" s="868">
        <v>0</v>
      </c>
      <c r="G140" s="892">
        <f t="shared" si="9"/>
        <v>0</v>
      </c>
    </row>
    <row r="141" spans="1:15" ht="15.75" x14ac:dyDescent="0.25">
      <c r="A141" s="869"/>
      <c r="B141" s="865"/>
      <c r="C141" s="866">
        <v>0</v>
      </c>
      <c r="D141" s="650">
        <v>0</v>
      </c>
      <c r="E141" s="217">
        <f t="shared" si="6"/>
        <v>0</v>
      </c>
      <c r="F141" s="870">
        <v>0</v>
      </c>
      <c r="G141" s="892">
        <f t="shared" si="9"/>
        <v>0</v>
      </c>
    </row>
    <row r="142" spans="1:15" ht="15.75" x14ac:dyDescent="0.25">
      <c r="A142" s="882"/>
      <c r="B142" s="865"/>
      <c r="C142" s="866">
        <v>0</v>
      </c>
      <c r="D142" s="650">
        <v>0</v>
      </c>
      <c r="E142" s="217">
        <f t="shared" si="6"/>
        <v>0</v>
      </c>
      <c r="F142" s="870">
        <v>0</v>
      </c>
      <c r="G142" s="892">
        <f t="shared" si="9"/>
        <v>0</v>
      </c>
    </row>
    <row r="143" spans="1:15" ht="15.75" x14ac:dyDescent="0.25">
      <c r="A143" s="869"/>
      <c r="B143" s="865"/>
      <c r="C143" s="866">
        <v>0</v>
      </c>
      <c r="D143" s="650">
        <v>0</v>
      </c>
      <c r="E143" s="217">
        <f t="shared" si="6"/>
        <v>0</v>
      </c>
      <c r="F143" s="870">
        <v>0</v>
      </c>
      <c r="G143" s="892">
        <f t="shared" si="9"/>
        <v>0</v>
      </c>
    </row>
    <row r="144" spans="1:15" ht="16.5" thickBot="1" x14ac:dyDescent="0.3">
      <c r="A144" s="871"/>
      <c r="B144" s="872"/>
      <c r="C144" s="873">
        <v>0</v>
      </c>
      <c r="D144" s="221">
        <v>0</v>
      </c>
      <c r="E144" s="221">
        <f>SUM(D144+C144*D144)</f>
        <v>0</v>
      </c>
      <c r="F144" s="874">
        <v>0</v>
      </c>
      <c r="G144" s="893">
        <f t="shared" si="9"/>
        <v>0</v>
      </c>
    </row>
    <row r="145" spans="1:7" ht="16.5" thickTop="1" thickBot="1" x14ac:dyDescent="0.3"/>
    <row r="146" spans="1:7" ht="17.25" thickTop="1" thickBot="1" x14ac:dyDescent="0.3">
      <c r="E146" s="1181" t="s">
        <v>1182</v>
      </c>
      <c r="F146" s="1182"/>
      <c r="G146" s="875">
        <f>SUM(G135:G144)</f>
        <v>6.7900000000000018</v>
      </c>
    </row>
    <row r="147" spans="1:7" ht="17.25" thickTop="1" thickBot="1" x14ac:dyDescent="0.3">
      <c r="A147" s="204"/>
      <c r="B147" s="208"/>
      <c r="C147" s="204"/>
    </row>
    <row r="148" spans="1:7" ht="17.25" thickTop="1" thickBot="1" x14ac:dyDescent="0.3">
      <c r="A148" s="8" t="s">
        <v>1177</v>
      </c>
      <c r="B148" s="862" t="s">
        <v>3</v>
      </c>
      <c r="C148" s="1181" t="s">
        <v>334</v>
      </c>
      <c r="D148" s="1182"/>
      <c r="E148" s="858" t="s">
        <v>7</v>
      </c>
      <c r="F148" s="858" t="s">
        <v>614</v>
      </c>
      <c r="G148" s="20"/>
    </row>
    <row r="149" spans="1:7" ht="16.5" thickTop="1" x14ac:dyDescent="0.25">
      <c r="A149" s="876"/>
      <c r="B149" s="865"/>
      <c r="C149" s="1407">
        <v>0</v>
      </c>
      <c r="D149" s="1408"/>
      <c r="E149" s="897">
        <v>0</v>
      </c>
      <c r="F149" s="877">
        <f>E149*C149</f>
        <v>0</v>
      </c>
    </row>
    <row r="150" spans="1:7" ht="15.75" x14ac:dyDescent="0.25">
      <c r="A150" s="867"/>
      <c r="B150" s="865"/>
      <c r="C150" s="1413">
        <v>0</v>
      </c>
      <c r="D150" s="1414"/>
      <c r="E150" s="899">
        <v>0</v>
      </c>
      <c r="F150" s="878">
        <f>E150*C150</f>
        <v>0</v>
      </c>
    </row>
    <row r="151" spans="1:7" ht="15.75" x14ac:dyDescent="0.25">
      <c r="A151" s="867"/>
      <c r="B151" s="865"/>
      <c r="C151" s="1413">
        <v>0</v>
      </c>
      <c r="D151" s="1414"/>
      <c r="E151" s="899">
        <v>0</v>
      </c>
      <c r="F151" s="878">
        <f>E151*C151</f>
        <v>0</v>
      </c>
      <c r="G151" s="20"/>
    </row>
    <row r="152" spans="1:7" ht="16.5" thickBot="1" x14ac:dyDescent="0.3">
      <c r="A152" s="879"/>
      <c r="B152" s="872"/>
      <c r="C152" s="1391">
        <v>0</v>
      </c>
      <c r="D152" s="1392"/>
      <c r="E152" s="898">
        <v>0</v>
      </c>
      <c r="F152" s="880">
        <f>E152*C152</f>
        <v>0</v>
      </c>
      <c r="G152" s="20"/>
    </row>
    <row r="153" spans="1:7" ht="16.5" thickTop="1" thickBot="1" x14ac:dyDescent="0.3"/>
    <row r="154" spans="1:7" ht="17.25" thickTop="1" thickBot="1" x14ac:dyDescent="0.3">
      <c r="A154" s="204"/>
      <c r="B154" s="208"/>
      <c r="C154" s="204"/>
      <c r="D154" s="204"/>
      <c r="E154" s="1181" t="s">
        <v>1178</v>
      </c>
      <c r="F154" s="1182"/>
      <c r="G154" s="875">
        <f>SUM(F149:F152)</f>
        <v>0</v>
      </c>
    </row>
    <row r="155" spans="1:7" ht="16.5" thickTop="1" thickBot="1" x14ac:dyDescent="0.3">
      <c r="G155" s="20"/>
    </row>
    <row r="156" spans="1:7" ht="17.25" thickTop="1" thickBot="1" x14ac:dyDescent="0.3">
      <c r="A156" s="1181" t="s">
        <v>193</v>
      </c>
      <c r="B156" s="1182"/>
      <c r="C156" s="1181" t="s">
        <v>1179</v>
      </c>
      <c r="D156" s="1182"/>
      <c r="E156" s="858" t="s">
        <v>1180</v>
      </c>
      <c r="F156" s="858" t="s">
        <v>614</v>
      </c>
      <c r="G156" s="20"/>
    </row>
    <row r="157" spans="1:7" ht="16.5" thickTop="1" x14ac:dyDescent="0.25">
      <c r="A157" s="1393" t="s">
        <v>193</v>
      </c>
      <c r="B157" s="1394"/>
      <c r="C157" s="1395">
        <v>0.75</v>
      </c>
      <c r="D157" s="1396"/>
      <c r="E157" s="250">
        <v>25.8</v>
      </c>
      <c r="F157" s="885">
        <f>E157*C157</f>
        <v>19.350000000000001</v>
      </c>
      <c r="G157" s="20"/>
    </row>
    <row r="158" spans="1:7" ht="15.75" x14ac:dyDescent="0.25">
      <c r="A158" s="1409"/>
      <c r="B158" s="1410"/>
      <c r="C158" s="1411">
        <v>0</v>
      </c>
      <c r="D158" s="1412"/>
      <c r="E158" s="868">
        <v>0</v>
      </c>
      <c r="F158" s="887">
        <f>E158*C158</f>
        <v>0</v>
      </c>
      <c r="G158" s="20"/>
    </row>
    <row r="159" spans="1:7" ht="15.75" x14ac:dyDescent="0.25">
      <c r="A159" s="1409"/>
      <c r="B159" s="1410"/>
      <c r="C159" s="1411">
        <v>0</v>
      </c>
      <c r="D159" s="1412"/>
      <c r="E159" s="868">
        <v>0</v>
      </c>
      <c r="F159" s="887">
        <f>E159*C159</f>
        <v>0</v>
      </c>
      <c r="G159" s="20"/>
    </row>
    <row r="160" spans="1:7" ht="16.5" thickBot="1" x14ac:dyDescent="0.3">
      <c r="A160" s="1415"/>
      <c r="B160" s="1416"/>
      <c r="C160" s="1417">
        <v>0</v>
      </c>
      <c r="D160" s="1418"/>
      <c r="E160" s="874">
        <v>0</v>
      </c>
      <c r="F160" s="889">
        <f>E160*C160</f>
        <v>0</v>
      </c>
      <c r="G160" s="20"/>
    </row>
    <row r="161" spans="1:7" ht="17.25" thickTop="1" thickBot="1" x14ac:dyDescent="0.3">
      <c r="A161" s="204"/>
      <c r="B161" s="208"/>
    </row>
    <row r="162" spans="1:7" ht="17.25" thickTop="1" thickBot="1" x14ac:dyDescent="0.3">
      <c r="A162" s="20"/>
      <c r="B162" s="39"/>
      <c r="C162" s="20"/>
      <c r="D162" s="20"/>
      <c r="E162" s="1181" t="s">
        <v>1183</v>
      </c>
      <c r="F162" s="1182"/>
      <c r="G162" s="875">
        <f>SUM(F157:F160)</f>
        <v>19.350000000000001</v>
      </c>
    </row>
    <row r="163" spans="1:7" ht="16.5" thickTop="1" thickBot="1" x14ac:dyDescent="0.3">
      <c r="A163" s="20"/>
      <c r="B163" s="39"/>
      <c r="C163" s="20"/>
    </row>
    <row r="164" spans="1:7" ht="17.25" thickTop="1" thickBot="1" x14ac:dyDescent="0.3">
      <c r="D164" s="1384" t="s">
        <v>1181</v>
      </c>
      <c r="E164" s="1385"/>
      <c r="F164" s="1386"/>
      <c r="G164" s="881">
        <f>G146+G154+G162</f>
        <v>26.140000000000004</v>
      </c>
    </row>
    <row r="165" spans="1:7" ht="16.5" thickTop="1" thickBot="1" x14ac:dyDescent="0.3"/>
    <row r="166" spans="1:7" ht="17.25" thickTop="1" thickBot="1" x14ac:dyDescent="0.3">
      <c r="A166" s="1384" t="s">
        <v>1190</v>
      </c>
      <c r="B166" s="1385"/>
      <c r="C166" s="1386"/>
      <c r="D166" s="896">
        <f>D39</f>
        <v>1.375</v>
      </c>
      <c r="G166" s="881">
        <f>G164*D166</f>
        <v>35.942500000000003</v>
      </c>
    </row>
    <row r="167" spans="1:7" ht="15.75" thickTop="1" x14ac:dyDescent="0.25"/>
    <row r="174" spans="1:7" ht="15.75" thickBot="1" x14ac:dyDescent="0.3"/>
    <row r="175" spans="1:7" ht="17.25" thickTop="1" thickBot="1" x14ac:dyDescent="0.3">
      <c r="A175" s="1397" t="s">
        <v>1175</v>
      </c>
      <c r="B175" s="1399" t="s">
        <v>1194</v>
      </c>
      <c r="C175" s="1399"/>
      <c r="D175" s="1400"/>
      <c r="E175" s="860" t="s">
        <v>57</v>
      </c>
      <c r="F175" s="1403">
        <f ca="1">TODAY()</f>
        <v>46093</v>
      </c>
      <c r="G175" s="1404"/>
    </row>
    <row r="176" spans="1:7" ht="17.25" thickTop="1" thickBot="1" x14ac:dyDescent="0.3">
      <c r="A176" s="1398"/>
      <c r="B176" s="1401"/>
      <c r="C176" s="1401"/>
      <c r="D176" s="1402"/>
      <c r="E176" s="861" t="s">
        <v>1176</v>
      </c>
      <c r="F176" s="1405" t="s">
        <v>12</v>
      </c>
      <c r="G176" s="1406"/>
    </row>
    <row r="177" spans="1:15" ht="17.25" thickTop="1" thickBot="1" x14ac:dyDescent="0.3">
      <c r="A177" s="204"/>
      <c r="B177" s="208"/>
      <c r="C177" s="204"/>
      <c r="D177" s="204"/>
      <c r="E177" s="204"/>
      <c r="F177" s="204"/>
      <c r="G177" s="20"/>
    </row>
    <row r="178" spans="1:15" ht="33" thickTop="1" thickBot="1" x14ac:dyDescent="0.3">
      <c r="A178" s="8" t="s">
        <v>612</v>
      </c>
      <c r="B178" s="862" t="s">
        <v>3</v>
      </c>
      <c r="C178" s="8" t="s">
        <v>622</v>
      </c>
      <c r="D178" s="863" t="s">
        <v>334</v>
      </c>
      <c r="E178" s="864" t="s">
        <v>1107</v>
      </c>
      <c r="F178" s="858" t="s">
        <v>7</v>
      </c>
      <c r="G178" s="858" t="s">
        <v>614</v>
      </c>
    </row>
    <row r="179" spans="1:15" ht="16.5" thickTop="1" x14ac:dyDescent="0.25">
      <c r="A179" s="876" t="s">
        <v>1196</v>
      </c>
      <c r="B179" s="865" t="s">
        <v>12</v>
      </c>
      <c r="C179" s="223">
        <v>0.05</v>
      </c>
      <c r="D179" s="883">
        <v>1</v>
      </c>
      <c r="E179" s="650">
        <f t="shared" ref="E179:E189" si="10">SUM(D179+C179*D179)</f>
        <v>1.05</v>
      </c>
      <c r="F179" s="250">
        <v>3.2</v>
      </c>
      <c r="G179" s="877">
        <f>F179*E179</f>
        <v>3.3600000000000003</v>
      </c>
      <c r="I179" t="s">
        <v>1207</v>
      </c>
      <c r="J179" s="900">
        <f>1.2*2.5</f>
        <v>3</v>
      </c>
      <c r="M179" t="s">
        <v>1209</v>
      </c>
      <c r="N179" s="900">
        <f>9.6/3</f>
        <v>3.1999999999999997</v>
      </c>
      <c r="O179" s="118" t="s">
        <v>1210</v>
      </c>
    </row>
    <row r="180" spans="1:15" ht="15.75" x14ac:dyDescent="0.25">
      <c r="A180" s="867" t="s">
        <v>1228</v>
      </c>
      <c r="B180" s="865" t="s">
        <v>14</v>
      </c>
      <c r="C180" s="223">
        <v>0</v>
      </c>
      <c r="D180" s="650">
        <v>1.8</v>
      </c>
      <c r="E180" s="650">
        <f t="shared" si="10"/>
        <v>1.8</v>
      </c>
      <c r="F180" s="868">
        <v>0.5</v>
      </c>
      <c r="G180" s="892">
        <f>F180*E180</f>
        <v>0.9</v>
      </c>
      <c r="I180" t="s">
        <v>1230</v>
      </c>
      <c r="J180">
        <f>10/20</f>
        <v>0.5</v>
      </c>
    </row>
    <row r="181" spans="1:15" ht="15.75" x14ac:dyDescent="0.25">
      <c r="A181" s="867" t="s">
        <v>1203</v>
      </c>
      <c r="B181" s="865" t="s">
        <v>11</v>
      </c>
      <c r="C181" s="223">
        <v>0</v>
      </c>
      <c r="D181" s="650">
        <v>1.5</v>
      </c>
      <c r="E181" s="650">
        <f t="shared" si="10"/>
        <v>1.5</v>
      </c>
      <c r="F181" s="868">
        <v>0.1</v>
      </c>
      <c r="G181" s="892">
        <f>F181*E181</f>
        <v>0.15000000000000002</v>
      </c>
      <c r="I181" t="s">
        <v>1215</v>
      </c>
      <c r="J181" s="900">
        <f>15/150</f>
        <v>0.1</v>
      </c>
    </row>
    <row r="182" spans="1:15" ht="15.75" x14ac:dyDescent="0.25">
      <c r="A182" s="867" t="s">
        <v>1205</v>
      </c>
      <c r="B182" s="865" t="s">
        <v>14</v>
      </c>
      <c r="C182" s="223">
        <v>0</v>
      </c>
      <c r="D182" s="650">
        <v>0.35</v>
      </c>
      <c r="E182" s="650">
        <f t="shared" si="10"/>
        <v>0.35</v>
      </c>
      <c r="F182" s="868">
        <v>0.8</v>
      </c>
      <c r="G182" s="892">
        <f>F182*E182</f>
        <v>0.27999999999999997</v>
      </c>
      <c r="I182" t="s">
        <v>1218</v>
      </c>
      <c r="J182" s="900">
        <f>16/20</f>
        <v>0.8</v>
      </c>
    </row>
    <row r="183" spans="1:15" ht="15.75" x14ac:dyDescent="0.25">
      <c r="A183" s="867"/>
      <c r="B183" s="865"/>
      <c r="C183" s="223">
        <v>0</v>
      </c>
      <c r="D183" s="650">
        <v>0</v>
      </c>
      <c r="E183" s="650">
        <f t="shared" si="10"/>
        <v>0</v>
      </c>
      <c r="F183" s="868">
        <v>0</v>
      </c>
      <c r="G183" s="892">
        <f t="shared" ref="G183:G190" si="11">F183*E183</f>
        <v>0</v>
      </c>
    </row>
    <row r="184" spans="1:15" ht="15.75" x14ac:dyDescent="0.25">
      <c r="A184" s="867"/>
      <c r="B184" s="865"/>
      <c r="C184" s="223">
        <v>0</v>
      </c>
      <c r="D184" s="650">
        <v>0</v>
      </c>
      <c r="E184" s="650">
        <f t="shared" si="10"/>
        <v>0</v>
      </c>
      <c r="F184" s="868">
        <v>0</v>
      </c>
      <c r="G184" s="892">
        <f t="shared" si="11"/>
        <v>0</v>
      </c>
    </row>
    <row r="185" spans="1:15" ht="15.75" x14ac:dyDescent="0.25">
      <c r="A185" s="869"/>
      <c r="B185" s="865"/>
      <c r="C185" s="866">
        <v>0</v>
      </c>
      <c r="D185" s="650">
        <v>0</v>
      </c>
      <c r="E185" s="217">
        <f t="shared" si="10"/>
        <v>0</v>
      </c>
      <c r="F185" s="870">
        <v>0</v>
      </c>
      <c r="G185" s="892">
        <f t="shared" si="11"/>
        <v>0</v>
      </c>
    </row>
    <row r="186" spans="1:15" ht="15.75" x14ac:dyDescent="0.25">
      <c r="A186" s="867"/>
      <c r="B186" s="865"/>
      <c r="C186" s="223">
        <v>0</v>
      </c>
      <c r="D186" s="650">
        <v>0</v>
      </c>
      <c r="E186" s="650">
        <f t="shared" si="10"/>
        <v>0</v>
      </c>
      <c r="F186" s="868">
        <v>0</v>
      </c>
      <c r="G186" s="892">
        <f t="shared" si="11"/>
        <v>0</v>
      </c>
    </row>
    <row r="187" spans="1:15" ht="15.75" x14ac:dyDescent="0.25">
      <c r="A187" s="869"/>
      <c r="B187" s="865"/>
      <c r="C187" s="866">
        <v>0</v>
      </c>
      <c r="D187" s="650">
        <v>0</v>
      </c>
      <c r="E187" s="217">
        <f t="shared" si="10"/>
        <v>0</v>
      </c>
      <c r="F187" s="870">
        <v>0</v>
      </c>
      <c r="G187" s="892">
        <f t="shared" si="11"/>
        <v>0</v>
      </c>
    </row>
    <row r="188" spans="1:15" ht="15.75" x14ac:dyDescent="0.25">
      <c r="A188" s="882"/>
      <c r="B188" s="865"/>
      <c r="C188" s="866">
        <v>0</v>
      </c>
      <c r="D188" s="650">
        <v>0</v>
      </c>
      <c r="E188" s="217">
        <f t="shared" si="10"/>
        <v>0</v>
      </c>
      <c r="F188" s="870">
        <v>0</v>
      </c>
      <c r="G188" s="892">
        <f t="shared" si="11"/>
        <v>0</v>
      </c>
    </row>
    <row r="189" spans="1:15" ht="15.75" x14ac:dyDescent="0.25">
      <c r="A189" s="869"/>
      <c r="B189" s="865"/>
      <c r="C189" s="866">
        <v>0</v>
      </c>
      <c r="D189" s="650">
        <v>0</v>
      </c>
      <c r="E189" s="217">
        <f t="shared" si="10"/>
        <v>0</v>
      </c>
      <c r="F189" s="870">
        <v>0</v>
      </c>
      <c r="G189" s="892">
        <f t="shared" si="11"/>
        <v>0</v>
      </c>
    </row>
    <row r="190" spans="1:15" ht="16.5" thickBot="1" x14ac:dyDescent="0.3">
      <c r="A190" s="871"/>
      <c r="B190" s="872"/>
      <c r="C190" s="873">
        <v>0</v>
      </c>
      <c r="D190" s="221">
        <v>0</v>
      </c>
      <c r="E190" s="221">
        <f>SUM(D190+C190*D190)</f>
        <v>0</v>
      </c>
      <c r="F190" s="874">
        <v>0</v>
      </c>
      <c r="G190" s="893">
        <f t="shared" si="11"/>
        <v>0</v>
      </c>
    </row>
    <row r="191" spans="1:15" ht="16.5" thickTop="1" thickBot="1" x14ac:dyDescent="0.3"/>
    <row r="192" spans="1:15" ht="17.25" thickTop="1" thickBot="1" x14ac:dyDescent="0.3">
      <c r="E192" s="1181" t="s">
        <v>1182</v>
      </c>
      <c r="F192" s="1182"/>
      <c r="G192" s="875">
        <f>SUM(G179:G190)</f>
        <v>4.6900000000000013</v>
      </c>
    </row>
    <row r="193" spans="1:7" ht="17.25" thickTop="1" thickBot="1" x14ac:dyDescent="0.3">
      <c r="A193" s="204"/>
      <c r="B193" s="208"/>
      <c r="C193" s="204"/>
    </row>
    <row r="194" spans="1:7" ht="17.25" thickTop="1" thickBot="1" x14ac:dyDescent="0.3">
      <c r="A194" s="8" t="s">
        <v>1177</v>
      </c>
      <c r="B194" s="862" t="s">
        <v>3</v>
      </c>
      <c r="C194" s="1181" t="s">
        <v>334</v>
      </c>
      <c r="D194" s="1182"/>
      <c r="E194" s="858" t="s">
        <v>7</v>
      </c>
      <c r="F194" s="858" t="s">
        <v>614</v>
      </c>
      <c r="G194" s="20"/>
    </row>
    <row r="195" spans="1:7" ht="16.5" thickTop="1" x14ac:dyDescent="0.25">
      <c r="A195" s="876"/>
      <c r="B195" s="865"/>
      <c r="C195" s="1407">
        <v>0</v>
      </c>
      <c r="D195" s="1408"/>
      <c r="E195" s="897">
        <v>0</v>
      </c>
      <c r="F195" s="877">
        <f>E195*C195</f>
        <v>0</v>
      </c>
    </row>
    <row r="196" spans="1:7" ht="15.75" x14ac:dyDescent="0.25">
      <c r="A196" s="867"/>
      <c r="B196" s="865"/>
      <c r="C196" s="1413">
        <v>0</v>
      </c>
      <c r="D196" s="1414"/>
      <c r="E196" s="899">
        <v>0</v>
      </c>
      <c r="F196" s="878">
        <f>E196*C196</f>
        <v>0</v>
      </c>
    </row>
    <row r="197" spans="1:7" ht="15.75" x14ac:dyDescent="0.25">
      <c r="A197" s="867"/>
      <c r="B197" s="865"/>
      <c r="C197" s="1413">
        <v>0</v>
      </c>
      <c r="D197" s="1414"/>
      <c r="E197" s="899">
        <v>0</v>
      </c>
      <c r="F197" s="878">
        <f>E197*C197</f>
        <v>0</v>
      </c>
      <c r="G197" s="20"/>
    </row>
    <row r="198" spans="1:7" ht="16.5" thickBot="1" x14ac:dyDescent="0.3">
      <c r="A198" s="879"/>
      <c r="B198" s="872"/>
      <c r="C198" s="1391">
        <v>0</v>
      </c>
      <c r="D198" s="1392"/>
      <c r="E198" s="898">
        <v>0</v>
      </c>
      <c r="F198" s="880">
        <f>E198*C198</f>
        <v>0</v>
      </c>
      <c r="G198" s="20"/>
    </row>
    <row r="199" spans="1:7" ht="16.5" thickTop="1" thickBot="1" x14ac:dyDescent="0.3"/>
    <row r="200" spans="1:7" ht="17.25" thickTop="1" thickBot="1" x14ac:dyDescent="0.3">
      <c r="A200" s="204"/>
      <c r="B200" s="208"/>
      <c r="C200" s="204"/>
      <c r="D200" s="204"/>
      <c r="E200" s="1181" t="s">
        <v>1178</v>
      </c>
      <c r="F200" s="1182"/>
      <c r="G200" s="875">
        <f>SUM(F195:F198)</f>
        <v>0</v>
      </c>
    </row>
    <row r="201" spans="1:7" ht="16.5" thickTop="1" thickBot="1" x14ac:dyDescent="0.3">
      <c r="G201" s="20"/>
    </row>
    <row r="202" spans="1:7" ht="17.25" thickTop="1" thickBot="1" x14ac:dyDescent="0.3">
      <c r="A202" s="1181" t="s">
        <v>193</v>
      </c>
      <c r="B202" s="1182"/>
      <c r="C202" s="1181" t="s">
        <v>1179</v>
      </c>
      <c r="D202" s="1182"/>
      <c r="E202" s="858" t="s">
        <v>1180</v>
      </c>
      <c r="F202" s="858" t="s">
        <v>614</v>
      </c>
      <c r="G202" s="20"/>
    </row>
    <row r="203" spans="1:7" ht="16.5" thickTop="1" x14ac:dyDescent="0.25">
      <c r="A203" s="1393" t="s">
        <v>193</v>
      </c>
      <c r="B203" s="1394"/>
      <c r="C203" s="1395">
        <v>0.5</v>
      </c>
      <c r="D203" s="1396"/>
      <c r="E203" s="250">
        <v>25.8</v>
      </c>
      <c r="F203" s="885">
        <f>E203*C203</f>
        <v>12.9</v>
      </c>
      <c r="G203" s="20"/>
    </row>
    <row r="204" spans="1:7" ht="15.75" x14ac:dyDescent="0.25">
      <c r="A204" s="1409"/>
      <c r="B204" s="1410"/>
      <c r="C204" s="1411">
        <v>0</v>
      </c>
      <c r="D204" s="1412"/>
      <c r="E204" s="868">
        <v>0</v>
      </c>
      <c r="F204" s="887">
        <f>E204*C204</f>
        <v>0</v>
      </c>
      <c r="G204" s="20"/>
    </row>
    <row r="205" spans="1:7" ht="15.75" x14ac:dyDescent="0.25">
      <c r="A205" s="1409"/>
      <c r="B205" s="1410"/>
      <c r="C205" s="1411">
        <v>0</v>
      </c>
      <c r="D205" s="1412"/>
      <c r="E205" s="868">
        <v>0</v>
      </c>
      <c r="F205" s="887">
        <f>E205*C205</f>
        <v>0</v>
      </c>
      <c r="G205" s="20"/>
    </row>
    <row r="206" spans="1:7" ht="16.5" thickBot="1" x14ac:dyDescent="0.3">
      <c r="A206" s="1415"/>
      <c r="B206" s="1416"/>
      <c r="C206" s="1417">
        <v>0</v>
      </c>
      <c r="D206" s="1418"/>
      <c r="E206" s="874">
        <v>0</v>
      </c>
      <c r="F206" s="889">
        <f>E206*C206</f>
        <v>0</v>
      </c>
      <c r="G206" s="20"/>
    </row>
    <row r="207" spans="1:7" ht="17.25" thickTop="1" thickBot="1" x14ac:dyDescent="0.3">
      <c r="A207" s="204"/>
      <c r="B207" s="208"/>
    </row>
    <row r="208" spans="1:7" ht="17.25" thickTop="1" thickBot="1" x14ac:dyDescent="0.3">
      <c r="A208" s="20"/>
      <c r="B208" s="39"/>
      <c r="C208" s="20"/>
      <c r="D208" s="20"/>
      <c r="E208" s="1181" t="s">
        <v>1183</v>
      </c>
      <c r="F208" s="1182"/>
      <c r="G208" s="875">
        <f>SUM(F203:F206)</f>
        <v>12.9</v>
      </c>
    </row>
    <row r="209" spans="1:15" ht="16.5" thickTop="1" thickBot="1" x14ac:dyDescent="0.3">
      <c r="A209" s="20"/>
      <c r="B209" s="39"/>
      <c r="C209" s="20"/>
    </row>
    <row r="210" spans="1:15" ht="17.25" thickTop="1" thickBot="1" x14ac:dyDescent="0.3">
      <c r="D210" s="1384" t="s">
        <v>1181</v>
      </c>
      <c r="E210" s="1385"/>
      <c r="F210" s="1386"/>
      <c r="G210" s="881">
        <f>G192+G200+G208</f>
        <v>17.590000000000003</v>
      </c>
    </row>
    <row r="211" spans="1:15" ht="16.5" thickTop="1" thickBot="1" x14ac:dyDescent="0.3"/>
    <row r="212" spans="1:15" ht="17.25" thickTop="1" thickBot="1" x14ac:dyDescent="0.3">
      <c r="A212" s="1384" t="s">
        <v>1190</v>
      </c>
      <c r="B212" s="1385"/>
      <c r="C212" s="1386"/>
      <c r="D212" s="896">
        <f>D39</f>
        <v>1.375</v>
      </c>
      <c r="G212" s="881">
        <f>G210*D212</f>
        <v>24.186250000000005</v>
      </c>
    </row>
    <row r="213" spans="1:15" ht="15.75" thickTop="1" x14ac:dyDescent="0.25"/>
    <row r="217" spans="1:15" ht="15.75" thickBot="1" x14ac:dyDescent="0.3"/>
    <row r="218" spans="1:15" ht="17.25" thickTop="1" thickBot="1" x14ac:dyDescent="0.3">
      <c r="A218" s="1397" t="s">
        <v>1175</v>
      </c>
      <c r="B218" s="1399" t="s">
        <v>1195</v>
      </c>
      <c r="C218" s="1399"/>
      <c r="D218" s="1400"/>
      <c r="E218" s="860" t="s">
        <v>57</v>
      </c>
      <c r="F218" s="1403">
        <f ca="1">TODAY()</f>
        <v>46093</v>
      </c>
      <c r="G218" s="1404"/>
    </row>
    <row r="219" spans="1:15" ht="17.25" thickTop="1" thickBot="1" x14ac:dyDescent="0.3">
      <c r="A219" s="1398"/>
      <c r="B219" s="1401"/>
      <c r="C219" s="1401"/>
      <c r="D219" s="1402"/>
      <c r="E219" s="861" t="s">
        <v>1176</v>
      </c>
      <c r="F219" s="1405" t="s">
        <v>12</v>
      </c>
      <c r="G219" s="1406"/>
    </row>
    <row r="220" spans="1:15" ht="17.25" thickTop="1" thickBot="1" x14ac:dyDescent="0.3">
      <c r="A220" s="204"/>
      <c r="B220" s="208"/>
      <c r="C220" s="204"/>
      <c r="D220" s="204"/>
      <c r="E220" s="204"/>
      <c r="F220" s="204"/>
      <c r="G220" s="20"/>
    </row>
    <row r="221" spans="1:15" ht="33" thickTop="1" thickBot="1" x14ac:dyDescent="0.3">
      <c r="A221" s="8" t="s">
        <v>612</v>
      </c>
      <c r="B221" s="862" t="s">
        <v>3</v>
      </c>
      <c r="C221" s="8" t="s">
        <v>622</v>
      </c>
      <c r="D221" s="863" t="s">
        <v>334</v>
      </c>
      <c r="E221" s="864" t="s">
        <v>1107</v>
      </c>
      <c r="F221" s="858" t="s">
        <v>7</v>
      </c>
      <c r="G221" s="858" t="s">
        <v>614</v>
      </c>
    </row>
    <row r="222" spans="1:15" ht="16.5" thickTop="1" x14ac:dyDescent="0.25">
      <c r="A222" s="911" t="s">
        <v>1232</v>
      </c>
      <c r="B222" s="865" t="s">
        <v>12</v>
      </c>
      <c r="C222" s="866">
        <v>0.05</v>
      </c>
      <c r="D222" s="220">
        <v>1</v>
      </c>
      <c r="E222" s="217">
        <f t="shared" ref="E222:E232" si="12">SUM(D222+C222*D222)</f>
        <v>1.05</v>
      </c>
      <c r="F222" s="912">
        <f>N223</f>
        <v>5.5</v>
      </c>
      <c r="G222" s="913">
        <f>F222*E222</f>
        <v>5.7750000000000004</v>
      </c>
      <c r="J222" s="900"/>
      <c r="N222" s="900"/>
      <c r="O222" s="118"/>
    </row>
    <row r="223" spans="1:15" ht="15.75" x14ac:dyDescent="0.25">
      <c r="A223" s="869"/>
      <c r="B223" s="865"/>
      <c r="C223" s="866">
        <v>0</v>
      </c>
      <c r="D223" s="217">
        <v>0</v>
      </c>
      <c r="E223" s="217">
        <f t="shared" si="12"/>
        <v>0</v>
      </c>
      <c r="F223" s="870">
        <v>0</v>
      </c>
      <c r="G223" s="892">
        <f>F223*E223</f>
        <v>0</v>
      </c>
      <c r="I223" t="s">
        <v>1207</v>
      </c>
      <c r="J223" s="900">
        <f>1.2*2.5</f>
        <v>3</v>
      </c>
      <c r="M223" t="s">
        <v>1231</v>
      </c>
      <c r="N223" s="1561">
        <f>16.5/3</f>
        <v>5.5</v>
      </c>
      <c r="O223" s="118" t="s">
        <v>1210</v>
      </c>
    </row>
    <row r="224" spans="1:15" ht="15.75" x14ac:dyDescent="0.25">
      <c r="A224" s="867"/>
      <c r="B224" s="865"/>
      <c r="C224" s="223">
        <v>0</v>
      </c>
      <c r="D224" s="650">
        <v>0</v>
      </c>
      <c r="E224" s="650">
        <f t="shared" si="12"/>
        <v>0</v>
      </c>
      <c r="F224" s="868">
        <v>0</v>
      </c>
      <c r="G224" s="892">
        <f>F224*E224</f>
        <v>0</v>
      </c>
      <c r="N224" s="900"/>
      <c r="O224" s="118"/>
    </row>
    <row r="225" spans="1:7" ht="15.75" x14ac:dyDescent="0.25">
      <c r="A225" s="867"/>
      <c r="B225" s="865"/>
      <c r="C225" s="223">
        <v>0</v>
      </c>
      <c r="D225" s="650">
        <v>0</v>
      </c>
      <c r="E225" s="650">
        <f t="shared" si="12"/>
        <v>0</v>
      </c>
      <c r="F225" s="868">
        <v>0</v>
      </c>
      <c r="G225" s="892">
        <f>F225*E225</f>
        <v>0</v>
      </c>
    </row>
    <row r="226" spans="1:7" ht="15.75" x14ac:dyDescent="0.25">
      <c r="A226" s="867"/>
      <c r="B226" s="865"/>
      <c r="C226" s="223">
        <v>0</v>
      </c>
      <c r="D226" s="650">
        <v>0</v>
      </c>
      <c r="E226" s="650">
        <f t="shared" si="12"/>
        <v>0</v>
      </c>
      <c r="F226" s="868">
        <v>0</v>
      </c>
      <c r="G226" s="892">
        <f t="shared" ref="G226:G233" si="13">F226*E226</f>
        <v>0</v>
      </c>
    </row>
    <row r="227" spans="1:7" ht="15.75" x14ac:dyDescent="0.25">
      <c r="A227" s="867"/>
      <c r="B227" s="865"/>
      <c r="C227" s="223">
        <v>0</v>
      </c>
      <c r="D227" s="650">
        <v>0</v>
      </c>
      <c r="E227" s="650">
        <f t="shared" si="12"/>
        <v>0</v>
      </c>
      <c r="F227" s="868">
        <v>0</v>
      </c>
      <c r="G227" s="892">
        <f t="shared" si="13"/>
        <v>0</v>
      </c>
    </row>
    <row r="228" spans="1:7" ht="15.75" x14ac:dyDescent="0.25">
      <c r="A228" s="869"/>
      <c r="B228" s="865"/>
      <c r="C228" s="866">
        <v>0</v>
      </c>
      <c r="D228" s="650">
        <v>0</v>
      </c>
      <c r="E228" s="217">
        <f t="shared" si="12"/>
        <v>0</v>
      </c>
      <c r="F228" s="870">
        <v>0</v>
      </c>
      <c r="G228" s="892">
        <f t="shared" si="13"/>
        <v>0</v>
      </c>
    </row>
    <row r="229" spans="1:7" ht="15.75" x14ac:dyDescent="0.25">
      <c r="A229" s="867"/>
      <c r="B229" s="865"/>
      <c r="C229" s="223">
        <v>0</v>
      </c>
      <c r="D229" s="650">
        <v>0</v>
      </c>
      <c r="E229" s="650">
        <f t="shared" si="12"/>
        <v>0</v>
      </c>
      <c r="F229" s="868">
        <v>0</v>
      </c>
      <c r="G229" s="892">
        <f t="shared" si="13"/>
        <v>0</v>
      </c>
    </row>
    <row r="230" spans="1:7" ht="15.75" x14ac:dyDescent="0.25">
      <c r="A230" s="869"/>
      <c r="B230" s="865"/>
      <c r="C230" s="866">
        <v>0</v>
      </c>
      <c r="D230" s="650">
        <v>0</v>
      </c>
      <c r="E230" s="217">
        <f t="shared" si="12"/>
        <v>0</v>
      </c>
      <c r="F230" s="870">
        <v>0</v>
      </c>
      <c r="G230" s="892">
        <f t="shared" si="13"/>
        <v>0</v>
      </c>
    </row>
    <row r="231" spans="1:7" ht="15.75" x14ac:dyDescent="0.25">
      <c r="A231" s="882"/>
      <c r="B231" s="865"/>
      <c r="C231" s="866">
        <v>0</v>
      </c>
      <c r="D231" s="650">
        <v>0</v>
      </c>
      <c r="E231" s="217">
        <f t="shared" si="12"/>
        <v>0</v>
      </c>
      <c r="F231" s="870">
        <v>0</v>
      </c>
      <c r="G231" s="892">
        <f t="shared" si="13"/>
        <v>0</v>
      </c>
    </row>
    <row r="232" spans="1:7" ht="15.75" x14ac:dyDescent="0.25">
      <c r="A232" s="869"/>
      <c r="B232" s="865"/>
      <c r="C232" s="866">
        <v>0</v>
      </c>
      <c r="D232" s="650">
        <v>0</v>
      </c>
      <c r="E232" s="217">
        <f t="shared" si="12"/>
        <v>0</v>
      </c>
      <c r="F232" s="870">
        <v>0</v>
      </c>
      <c r="G232" s="892">
        <f t="shared" si="13"/>
        <v>0</v>
      </c>
    </row>
    <row r="233" spans="1:7" ht="16.5" thickBot="1" x14ac:dyDescent="0.3">
      <c r="A233" s="871"/>
      <c r="B233" s="872"/>
      <c r="C233" s="873">
        <v>0</v>
      </c>
      <c r="D233" s="221">
        <v>0</v>
      </c>
      <c r="E233" s="221">
        <f>SUM(D233+C233*D233)</f>
        <v>0</v>
      </c>
      <c r="F233" s="874">
        <v>0</v>
      </c>
      <c r="G233" s="893">
        <f t="shared" si="13"/>
        <v>0</v>
      </c>
    </row>
    <row r="234" spans="1:7" ht="16.5" thickTop="1" thickBot="1" x14ac:dyDescent="0.3"/>
    <row r="235" spans="1:7" ht="17.25" thickTop="1" thickBot="1" x14ac:dyDescent="0.3">
      <c r="E235" s="1181" t="s">
        <v>1182</v>
      </c>
      <c r="F235" s="1182"/>
      <c r="G235" s="875">
        <f>SUM(G222:G233)</f>
        <v>5.7750000000000004</v>
      </c>
    </row>
    <row r="236" spans="1:7" ht="17.25" thickTop="1" thickBot="1" x14ac:dyDescent="0.3">
      <c r="A236" s="204"/>
      <c r="B236" s="208"/>
      <c r="C236" s="204"/>
    </row>
    <row r="237" spans="1:7" ht="17.25" thickTop="1" thickBot="1" x14ac:dyDescent="0.3">
      <c r="A237" s="8" t="s">
        <v>1177</v>
      </c>
      <c r="B237" s="862" t="s">
        <v>3</v>
      </c>
      <c r="C237" s="1181" t="s">
        <v>334</v>
      </c>
      <c r="D237" s="1182"/>
      <c r="E237" s="858" t="s">
        <v>7</v>
      </c>
      <c r="F237" s="858" t="s">
        <v>614</v>
      </c>
      <c r="G237" s="20"/>
    </row>
    <row r="238" spans="1:7" ht="16.5" thickTop="1" x14ac:dyDescent="0.25">
      <c r="A238" s="876"/>
      <c r="B238" s="865"/>
      <c r="C238" s="1407">
        <v>0</v>
      </c>
      <c r="D238" s="1408"/>
      <c r="E238" s="897">
        <v>0</v>
      </c>
      <c r="F238" s="877">
        <f>E238*C238</f>
        <v>0</v>
      </c>
    </row>
    <row r="239" spans="1:7" ht="15.75" x14ac:dyDescent="0.25">
      <c r="A239" s="867"/>
      <c r="B239" s="865"/>
      <c r="C239" s="1413">
        <v>0</v>
      </c>
      <c r="D239" s="1414"/>
      <c r="E239" s="899">
        <v>0</v>
      </c>
      <c r="F239" s="878">
        <f>E239*C239</f>
        <v>0</v>
      </c>
    </row>
    <row r="240" spans="1:7" ht="15.75" x14ac:dyDescent="0.25">
      <c r="A240" s="867"/>
      <c r="B240" s="865"/>
      <c r="C240" s="1413">
        <v>0</v>
      </c>
      <c r="D240" s="1414"/>
      <c r="E240" s="899">
        <v>0</v>
      </c>
      <c r="F240" s="878">
        <f>E240*C240</f>
        <v>0</v>
      </c>
      <c r="G240" s="20"/>
    </row>
    <row r="241" spans="1:7" ht="16.5" thickBot="1" x14ac:dyDescent="0.3">
      <c r="A241" s="879"/>
      <c r="B241" s="872"/>
      <c r="C241" s="1391">
        <v>0</v>
      </c>
      <c r="D241" s="1392"/>
      <c r="E241" s="898">
        <v>0</v>
      </c>
      <c r="F241" s="880">
        <f>E241*C241</f>
        <v>0</v>
      </c>
      <c r="G241" s="20"/>
    </row>
    <row r="242" spans="1:7" ht="16.5" thickTop="1" thickBot="1" x14ac:dyDescent="0.3"/>
    <row r="243" spans="1:7" ht="17.25" thickTop="1" thickBot="1" x14ac:dyDescent="0.3">
      <c r="A243" s="204"/>
      <c r="B243" s="208"/>
      <c r="C243" s="204"/>
      <c r="D243" s="204"/>
      <c r="E243" s="1181" t="s">
        <v>1178</v>
      </c>
      <c r="F243" s="1182"/>
      <c r="G243" s="875">
        <f>SUM(F238:F241)</f>
        <v>0</v>
      </c>
    </row>
    <row r="244" spans="1:7" ht="16.5" thickTop="1" thickBot="1" x14ac:dyDescent="0.3">
      <c r="G244" s="20"/>
    </row>
    <row r="245" spans="1:7" ht="17.25" thickTop="1" thickBot="1" x14ac:dyDescent="0.3">
      <c r="A245" s="1181" t="s">
        <v>193</v>
      </c>
      <c r="B245" s="1182"/>
      <c r="C245" s="1181" t="s">
        <v>1179</v>
      </c>
      <c r="D245" s="1182"/>
      <c r="E245" s="858" t="s">
        <v>1180</v>
      </c>
      <c r="F245" s="858" t="s">
        <v>614</v>
      </c>
      <c r="G245" s="20"/>
    </row>
    <row r="246" spans="1:7" ht="16.5" thickTop="1" x14ac:dyDescent="0.25">
      <c r="A246" s="1393" t="s">
        <v>193</v>
      </c>
      <c r="B246" s="1394"/>
      <c r="C246" s="1395">
        <v>0.5</v>
      </c>
      <c r="D246" s="1396"/>
      <c r="E246" s="250">
        <v>25.8</v>
      </c>
      <c r="F246" s="885">
        <f>E246*C246</f>
        <v>12.9</v>
      </c>
      <c r="G246" s="20"/>
    </row>
    <row r="247" spans="1:7" ht="15.75" x14ac:dyDescent="0.25">
      <c r="A247" s="1409"/>
      <c r="B247" s="1410"/>
      <c r="C247" s="1411">
        <v>0</v>
      </c>
      <c r="D247" s="1412"/>
      <c r="E247" s="868">
        <v>0</v>
      </c>
      <c r="F247" s="887">
        <f>E247*C247</f>
        <v>0</v>
      </c>
      <c r="G247" s="20"/>
    </row>
    <row r="248" spans="1:7" ht="15.75" x14ac:dyDescent="0.25">
      <c r="A248" s="1409"/>
      <c r="B248" s="1410"/>
      <c r="C248" s="1411">
        <v>0</v>
      </c>
      <c r="D248" s="1412"/>
      <c r="E248" s="868">
        <v>0</v>
      </c>
      <c r="F248" s="887">
        <f>E248*C248</f>
        <v>0</v>
      </c>
      <c r="G248" s="20"/>
    </row>
    <row r="249" spans="1:7" ht="16.5" thickBot="1" x14ac:dyDescent="0.3">
      <c r="A249" s="1415"/>
      <c r="B249" s="1416"/>
      <c r="C249" s="1417">
        <v>0</v>
      </c>
      <c r="D249" s="1418"/>
      <c r="E249" s="874">
        <v>0</v>
      </c>
      <c r="F249" s="889">
        <f>E249*C249</f>
        <v>0</v>
      </c>
      <c r="G249" s="20"/>
    </row>
    <row r="250" spans="1:7" ht="17.25" thickTop="1" thickBot="1" x14ac:dyDescent="0.3">
      <c r="A250" s="204"/>
      <c r="B250" s="208"/>
    </row>
    <row r="251" spans="1:7" ht="17.25" thickTop="1" thickBot="1" x14ac:dyDescent="0.3">
      <c r="A251" s="20"/>
      <c r="B251" s="39"/>
      <c r="C251" s="20"/>
      <c r="D251" s="20"/>
      <c r="E251" s="1181" t="s">
        <v>1183</v>
      </c>
      <c r="F251" s="1182"/>
      <c r="G251" s="875">
        <f>SUM(F246:F249)</f>
        <v>12.9</v>
      </c>
    </row>
    <row r="252" spans="1:7" ht="16.5" thickTop="1" thickBot="1" x14ac:dyDescent="0.3">
      <c r="A252" s="20"/>
      <c r="B252" s="39"/>
      <c r="C252" s="20"/>
    </row>
    <row r="253" spans="1:7" ht="17.25" thickTop="1" thickBot="1" x14ac:dyDescent="0.3">
      <c r="D253" s="1384" t="s">
        <v>1181</v>
      </c>
      <c r="E253" s="1385"/>
      <c r="F253" s="1386"/>
      <c r="G253" s="881">
        <f>G235+G243+G251</f>
        <v>18.675000000000001</v>
      </c>
    </row>
    <row r="254" spans="1:7" ht="16.5" thickTop="1" thickBot="1" x14ac:dyDescent="0.3"/>
    <row r="255" spans="1:7" ht="17.25" thickTop="1" thickBot="1" x14ac:dyDescent="0.3">
      <c r="A255" s="1384" t="s">
        <v>1190</v>
      </c>
      <c r="B255" s="1385"/>
      <c r="C255" s="1386"/>
      <c r="D255" s="896">
        <f>D39</f>
        <v>1.375</v>
      </c>
      <c r="G255" s="881">
        <f>G253*D255</f>
        <v>25.678125000000001</v>
      </c>
    </row>
    <row r="256" spans="1:7" ht="15.75" thickTop="1" x14ac:dyDescent="0.25"/>
    <row r="261" spans="1:11" ht="15.75" x14ac:dyDescent="0.25">
      <c r="H261" s="254"/>
      <c r="I261" s="254"/>
      <c r="J261" s="254"/>
      <c r="K261" s="254"/>
    </row>
    <row r="262" spans="1:11" ht="15.75" x14ac:dyDescent="0.25">
      <c r="H262" s="254"/>
      <c r="I262" s="254"/>
      <c r="J262" s="254"/>
      <c r="K262" s="254"/>
    </row>
    <row r="263" spans="1:11" ht="15.75" x14ac:dyDescent="0.25">
      <c r="K263" s="254"/>
    </row>
    <row r="264" spans="1:11" ht="18.75" customHeight="1" x14ac:dyDescent="0.25">
      <c r="K264" s="254"/>
    </row>
    <row r="265" spans="1:11" ht="18.75" customHeight="1" x14ac:dyDescent="0.25">
      <c r="K265" s="254"/>
    </row>
    <row r="266" spans="1:11" ht="18.75" customHeight="1" x14ac:dyDescent="0.25">
      <c r="K266" s="254"/>
    </row>
    <row r="267" spans="1:11" ht="18.75" customHeight="1" x14ac:dyDescent="0.25">
      <c r="K267" s="254"/>
    </row>
    <row r="268" spans="1:11" ht="18.75" customHeight="1" x14ac:dyDescent="0.35">
      <c r="B268" s="343"/>
      <c r="C268" s="1420" t="s">
        <v>730</v>
      </c>
      <c r="D268" s="1420"/>
      <c r="E268" s="1420"/>
      <c r="F268" s="1420"/>
      <c r="G268" s="1420"/>
      <c r="K268" s="254"/>
    </row>
    <row r="269" spans="1:11" ht="18.75" customHeight="1" x14ac:dyDescent="0.25">
      <c r="A269" s="254"/>
      <c r="B269" s="254"/>
      <c r="C269" s="254"/>
      <c r="D269" s="254"/>
      <c r="E269" s="254"/>
      <c r="F269" s="254"/>
      <c r="G269" s="254"/>
      <c r="K269" s="254"/>
    </row>
    <row r="270" spans="1:11" ht="18.75" customHeight="1" x14ac:dyDescent="0.25">
      <c r="B270" s="914"/>
      <c r="C270" s="1421" t="s">
        <v>333</v>
      </c>
      <c r="D270" s="1422"/>
      <c r="E270" s="1422"/>
      <c r="F270" s="1423"/>
      <c r="G270" s="920" t="s">
        <v>725</v>
      </c>
      <c r="K270" s="254"/>
    </row>
    <row r="271" spans="1:11" ht="18.75" customHeight="1" x14ac:dyDescent="0.25">
      <c r="B271" s="915"/>
      <c r="C271" s="916" t="s">
        <v>55</v>
      </c>
      <c r="F271" s="918"/>
      <c r="G271" s="903">
        <v>1</v>
      </c>
      <c r="K271" s="254"/>
    </row>
    <row r="272" spans="1:11" ht="18.75" x14ac:dyDescent="0.25">
      <c r="B272" s="915"/>
      <c r="C272" s="916" t="s">
        <v>157</v>
      </c>
      <c r="F272" s="917">
        <v>0.1</v>
      </c>
      <c r="G272" s="904">
        <f>G271*F272</f>
        <v>0.1</v>
      </c>
      <c r="K272" s="254"/>
    </row>
    <row r="273" spans="1:11" ht="20.25" customHeight="1" x14ac:dyDescent="0.25">
      <c r="B273" s="915"/>
      <c r="C273" s="916" t="s">
        <v>726</v>
      </c>
      <c r="F273" s="917"/>
      <c r="G273" s="905">
        <f>G271+G272</f>
        <v>1.1000000000000001</v>
      </c>
      <c r="K273" s="254"/>
    </row>
    <row r="274" spans="1:11" ht="18.75" x14ac:dyDescent="0.25">
      <c r="B274" s="915"/>
      <c r="C274" s="916" t="s">
        <v>159</v>
      </c>
      <c r="F274" s="917">
        <v>0.15</v>
      </c>
      <c r="G274" s="1568">
        <f>G273*F274</f>
        <v>0.16500000000000001</v>
      </c>
      <c r="H274" s="254"/>
      <c r="I274" s="254"/>
      <c r="J274" s="254"/>
      <c r="K274" s="254"/>
    </row>
    <row r="275" spans="1:11" ht="18.75" x14ac:dyDescent="0.25">
      <c r="B275" s="915"/>
      <c r="C275" s="916" t="s">
        <v>727</v>
      </c>
      <c r="F275" s="917">
        <v>0</v>
      </c>
      <c r="G275" s="921">
        <f>ROUND(G273*F275,2)</f>
        <v>0</v>
      </c>
      <c r="H275" s="254"/>
      <c r="I275" s="254"/>
      <c r="J275" s="254"/>
      <c r="K275" s="254"/>
    </row>
    <row r="276" spans="1:11" ht="18.75" x14ac:dyDescent="0.25">
      <c r="B276" s="915"/>
      <c r="C276" s="916" t="s">
        <v>646</v>
      </c>
      <c r="F276" s="917"/>
      <c r="G276" s="1566">
        <f>SUM(G273:G275)</f>
        <v>1.2650000000000001</v>
      </c>
      <c r="H276" s="254"/>
      <c r="I276" s="254"/>
      <c r="J276" s="254"/>
      <c r="K276" s="254"/>
    </row>
    <row r="277" spans="1:11" ht="18.75" x14ac:dyDescent="0.25">
      <c r="B277" s="915"/>
      <c r="C277" s="916" t="s">
        <v>728</v>
      </c>
      <c r="F277" s="1564">
        <v>8.6957000000000007E-2</v>
      </c>
      <c r="G277" s="1562">
        <f>ROUND(G276*F277,2)</f>
        <v>0.11</v>
      </c>
      <c r="H277" s="254"/>
      <c r="I277" s="254"/>
      <c r="J277" s="254"/>
      <c r="K277" s="254"/>
    </row>
    <row r="278" spans="1:11" ht="18.75" x14ac:dyDescent="0.25">
      <c r="B278" s="915"/>
      <c r="C278" s="916" t="s">
        <v>54</v>
      </c>
      <c r="F278" s="918"/>
      <c r="G278" s="1565">
        <f>SUM(G276:G277)</f>
        <v>1.3750000000000002</v>
      </c>
      <c r="K278" s="254"/>
    </row>
    <row r="279" spans="1:11" ht="19.5" thickBot="1" x14ac:dyDescent="0.35">
      <c r="B279" s="915"/>
      <c r="C279" s="916"/>
      <c r="F279" s="350"/>
      <c r="G279" s="922"/>
      <c r="H279" s="254"/>
      <c r="I279" s="254"/>
      <c r="J279" s="254"/>
      <c r="K279" s="254"/>
    </row>
    <row r="280" spans="1:11" ht="19.5" customHeight="1" thickBot="1" x14ac:dyDescent="0.35">
      <c r="B280" s="915"/>
      <c r="C280" s="919" t="s">
        <v>647</v>
      </c>
      <c r="D280" s="329"/>
      <c r="E280" s="329"/>
      <c r="F280" s="351"/>
      <c r="G280" s="923">
        <f>ROUND(IF(G271=0,0,G278/G271),4)</f>
        <v>1.375</v>
      </c>
      <c r="H280" s="39"/>
      <c r="K280" s="254"/>
    </row>
    <row r="281" spans="1:11" ht="15.75" x14ac:dyDescent="0.25">
      <c r="A281" s="254"/>
      <c r="B281" s="254"/>
      <c r="C281" s="254"/>
      <c r="D281" s="254"/>
      <c r="E281" s="254"/>
      <c r="F281" s="254"/>
      <c r="G281" s="254"/>
      <c r="H281" s="254"/>
      <c r="I281" s="254"/>
      <c r="J281" s="254"/>
      <c r="K281" s="254"/>
    </row>
    <row r="283" spans="1:11" ht="15.75" x14ac:dyDescent="0.25">
      <c r="A283" s="254" t="s">
        <v>1291</v>
      </c>
      <c r="B283" s="254" t="s">
        <v>42</v>
      </c>
      <c r="C283" s="20" t="s">
        <v>1292</v>
      </c>
      <c r="D283" s="254"/>
      <c r="E283" s="39" t="s">
        <v>42</v>
      </c>
      <c r="F283" s="1563">
        <f>100/(100-8)*8</f>
        <v>8.695652173913043</v>
      </c>
      <c r="G283" s="895" t="s">
        <v>1188</v>
      </c>
    </row>
    <row r="286" spans="1:11" ht="18.75" x14ac:dyDescent="0.25">
      <c r="D286" s="1419"/>
      <c r="E286" s="1419"/>
      <c r="F286" s="1419"/>
    </row>
    <row r="303" spans="1:7" ht="15.75" thickBot="1" x14ac:dyDescent="0.3"/>
    <row r="304" spans="1:7" ht="17.25" thickTop="1" thickBot="1" x14ac:dyDescent="0.3">
      <c r="A304" s="1397" t="s">
        <v>1175</v>
      </c>
      <c r="B304" s="1399" t="s">
        <v>1233</v>
      </c>
      <c r="C304" s="1399"/>
      <c r="D304" s="1400"/>
      <c r="E304" s="860" t="s">
        <v>57</v>
      </c>
      <c r="F304" s="1403">
        <f ca="1">TODAY()</f>
        <v>46093</v>
      </c>
      <c r="G304" s="1404"/>
    </row>
    <row r="305" spans="1:7" ht="17.25" thickTop="1" thickBot="1" x14ac:dyDescent="0.3">
      <c r="A305" s="1398"/>
      <c r="B305" s="1401"/>
      <c r="C305" s="1401"/>
      <c r="D305" s="1402"/>
      <c r="E305" s="861" t="s">
        <v>1176</v>
      </c>
      <c r="F305" s="1405" t="s">
        <v>290</v>
      </c>
      <c r="G305" s="1406"/>
    </row>
    <row r="306" spans="1:7" ht="17.25" thickTop="1" thickBot="1" x14ac:dyDescent="0.3">
      <c r="A306" s="204"/>
      <c r="B306" s="208"/>
      <c r="C306" s="204"/>
      <c r="D306" s="204"/>
      <c r="E306" s="204"/>
      <c r="F306" s="204"/>
      <c r="G306" s="20"/>
    </row>
    <row r="307" spans="1:7" ht="33" thickTop="1" thickBot="1" x14ac:dyDescent="0.3">
      <c r="A307" s="8" t="s">
        <v>612</v>
      </c>
      <c r="B307" s="862" t="s">
        <v>3</v>
      </c>
      <c r="C307" s="8" t="s">
        <v>622</v>
      </c>
      <c r="D307" s="863" t="s">
        <v>334</v>
      </c>
      <c r="E307" s="864" t="s">
        <v>1107</v>
      </c>
      <c r="F307" s="858" t="s">
        <v>7</v>
      </c>
      <c r="G307" s="858" t="s">
        <v>614</v>
      </c>
    </row>
    <row r="308" spans="1:7" ht="32.25" thickTop="1" x14ac:dyDescent="0.25">
      <c r="A308" s="911" t="s">
        <v>1240</v>
      </c>
      <c r="B308" s="865" t="s">
        <v>290</v>
      </c>
      <c r="C308" s="866">
        <v>0</v>
      </c>
      <c r="D308" s="220">
        <v>0.05</v>
      </c>
      <c r="E308" s="217">
        <f t="shared" ref="E308:E318" si="14">SUM(D308+C308*D308)</f>
        <v>0.05</v>
      </c>
      <c r="F308" s="912">
        <v>77.930000000000007</v>
      </c>
      <c r="G308" s="913">
        <f>F308*E308</f>
        <v>3.8965000000000005</v>
      </c>
    </row>
    <row r="309" spans="1:7" ht="15.75" x14ac:dyDescent="0.25">
      <c r="A309" s="867"/>
      <c r="B309" s="865"/>
      <c r="C309" s="223">
        <v>0</v>
      </c>
      <c r="D309" s="650">
        <v>0</v>
      </c>
      <c r="E309" s="650">
        <f t="shared" si="14"/>
        <v>0</v>
      </c>
      <c r="F309" s="868">
        <v>0</v>
      </c>
      <c r="G309" s="892">
        <f>F309*E309</f>
        <v>0</v>
      </c>
    </row>
    <row r="310" spans="1:7" ht="15.75" x14ac:dyDescent="0.25">
      <c r="A310" s="867"/>
      <c r="B310" s="865"/>
      <c r="C310" s="223">
        <v>0</v>
      </c>
      <c r="D310" s="650">
        <v>0</v>
      </c>
      <c r="E310" s="650">
        <f t="shared" si="14"/>
        <v>0</v>
      </c>
      <c r="F310" s="868">
        <v>0</v>
      </c>
      <c r="G310" s="892">
        <f>F310*E310</f>
        <v>0</v>
      </c>
    </row>
    <row r="311" spans="1:7" ht="15.75" x14ac:dyDescent="0.25">
      <c r="A311" s="867"/>
      <c r="B311" s="865"/>
      <c r="C311" s="223">
        <v>0</v>
      </c>
      <c r="D311" s="650">
        <v>0</v>
      </c>
      <c r="E311" s="650">
        <f t="shared" si="14"/>
        <v>0</v>
      </c>
      <c r="F311" s="868">
        <v>0</v>
      </c>
      <c r="G311" s="892">
        <f>F311*E311</f>
        <v>0</v>
      </c>
    </row>
    <row r="312" spans="1:7" ht="15.75" x14ac:dyDescent="0.25">
      <c r="A312" s="867"/>
      <c r="B312" s="865"/>
      <c r="C312" s="223">
        <v>0</v>
      </c>
      <c r="D312" s="650">
        <v>0</v>
      </c>
      <c r="E312" s="650">
        <f t="shared" si="14"/>
        <v>0</v>
      </c>
      <c r="F312" s="868">
        <v>0</v>
      </c>
      <c r="G312" s="892">
        <f t="shared" ref="G312:G319" si="15">F312*E312</f>
        <v>0</v>
      </c>
    </row>
    <row r="313" spans="1:7" ht="15.75" x14ac:dyDescent="0.25">
      <c r="A313" s="867"/>
      <c r="B313" s="865"/>
      <c r="C313" s="223">
        <v>0</v>
      </c>
      <c r="D313" s="650">
        <v>0</v>
      </c>
      <c r="E313" s="650">
        <f t="shared" si="14"/>
        <v>0</v>
      </c>
      <c r="F313" s="868">
        <v>0</v>
      </c>
      <c r="G313" s="892">
        <f t="shared" si="15"/>
        <v>0</v>
      </c>
    </row>
    <row r="314" spans="1:7" ht="15.75" x14ac:dyDescent="0.25">
      <c r="A314" s="869"/>
      <c r="B314" s="865"/>
      <c r="C314" s="866">
        <v>0</v>
      </c>
      <c r="D314" s="650">
        <v>0</v>
      </c>
      <c r="E314" s="217">
        <f t="shared" si="14"/>
        <v>0</v>
      </c>
      <c r="F314" s="870">
        <v>0</v>
      </c>
      <c r="G314" s="892">
        <f t="shared" si="15"/>
        <v>0</v>
      </c>
    </row>
    <row r="315" spans="1:7" ht="15.75" x14ac:dyDescent="0.25">
      <c r="A315" s="867"/>
      <c r="B315" s="865"/>
      <c r="C315" s="223">
        <v>0</v>
      </c>
      <c r="D315" s="650">
        <v>0</v>
      </c>
      <c r="E315" s="650">
        <f t="shared" si="14"/>
        <v>0</v>
      </c>
      <c r="F315" s="868">
        <v>0</v>
      </c>
      <c r="G315" s="892">
        <f t="shared" si="15"/>
        <v>0</v>
      </c>
    </row>
    <row r="316" spans="1:7" ht="15.75" x14ac:dyDescent="0.25">
      <c r="A316" s="869"/>
      <c r="B316" s="865"/>
      <c r="C316" s="866">
        <v>0</v>
      </c>
      <c r="D316" s="650">
        <v>0</v>
      </c>
      <c r="E316" s="217">
        <f t="shared" si="14"/>
        <v>0</v>
      </c>
      <c r="F316" s="870">
        <v>0</v>
      </c>
      <c r="G316" s="892">
        <f t="shared" si="15"/>
        <v>0</v>
      </c>
    </row>
    <row r="317" spans="1:7" ht="15.75" x14ac:dyDescent="0.25">
      <c r="A317" s="882"/>
      <c r="B317" s="865"/>
      <c r="C317" s="866">
        <v>0</v>
      </c>
      <c r="D317" s="650">
        <v>0</v>
      </c>
      <c r="E317" s="217">
        <f t="shared" si="14"/>
        <v>0</v>
      </c>
      <c r="F317" s="870">
        <v>0</v>
      </c>
      <c r="G317" s="892">
        <f t="shared" si="15"/>
        <v>0</v>
      </c>
    </row>
    <row r="318" spans="1:7" ht="15.75" x14ac:dyDescent="0.25">
      <c r="A318" s="869"/>
      <c r="B318" s="865"/>
      <c r="C318" s="866">
        <v>0</v>
      </c>
      <c r="D318" s="650">
        <v>0</v>
      </c>
      <c r="E318" s="217">
        <f t="shared" si="14"/>
        <v>0</v>
      </c>
      <c r="F318" s="870">
        <v>0</v>
      </c>
      <c r="G318" s="892">
        <f t="shared" si="15"/>
        <v>0</v>
      </c>
    </row>
    <row r="319" spans="1:7" ht="16.5" thickBot="1" x14ac:dyDescent="0.3">
      <c r="A319" s="871"/>
      <c r="B319" s="872"/>
      <c r="C319" s="873">
        <v>0</v>
      </c>
      <c r="D319" s="221">
        <v>0</v>
      </c>
      <c r="E319" s="221">
        <f>SUM(D319+C319*D319)</f>
        <v>0</v>
      </c>
      <c r="F319" s="874">
        <v>0</v>
      </c>
      <c r="G319" s="893">
        <f t="shared" si="15"/>
        <v>0</v>
      </c>
    </row>
    <row r="320" spans="1:7" ht="16.5" thickTop="1" thickBot="1" x14ac:dyDescent="0.3"/>
    <row r="321" spans="1:7" ht="17.25" thickTop="1" thickBot="1" x14ac:dyDescent="0.3">
      <c r="E321" s="1181" t="s">
        <v>1182</v>
      </c>
      <c r="F321" s="1182"/>
      <c r="G321" s="875">
        <f>SUM(G308:G319)</f>
        <v>3.8965000000000005</v>
      </c>
    </row>
    <row r="322" spans="1:7" ht="17.25" thickTop="1" thickBot="1" x14ac:dyDescent="0.3">
      <c r="A322" s="204"/>
      <c r="B322" s="208"/>
      <c r="C322" s="204"/>
    </row>
    <row r="323" spans="1:7" ht="17.25" thickTop="1" thickBot="1" x14ac:dyDescent="0.3">
      <c r="A323" s="8" t="s">
        <v>1177</v>
      </c>
      <c r="B323" s="862" t="s">
        <v>3</v>
      </c>
      <c r="C323" s="1181" t="s">
        <v>334</v>
      </c>
      <c r="D323" s="1182"/>
      <c r="E323" s="858" t="s">
        <v>7</v>
      </c>
      <c r="F323" s="858" t="s">
        <v>614</v>
      </c>
      <c r="G323" s="20"/>
    </row>
    <row r="324" spans="1:7" ht="16.5" thickTop="1" x14ac:dyDescent="0.25">
      <c r="A324" s="876"/>
      <c r="B324" s="865"/>
      <c r="C324" s="1407">
        <v>0</v>
      </c>
      <c r="D324" s="1408"/>
      <c r="E324" s="897">
        <v>0</v>
      </c>
      <c r="F324" s="877">
        <f>E324*C324</f>
        <v>0</v>
      </c>
    </row>
    <row r="325" spans="1:7" ht="15.75" x14ac:dyDescent="0.25">
      <c r="A325" s="867"/>
      <c r="B325" s="865"/>
      <c r="C325" s="1413">
        <v>0</v>
      </c>
      <c r="D325" s="1414"/>
      <c r="E325" s="899">
        <v>0</v>
      </c>
      <c r="F325" s="878">
        <f>E325*C325</f>
        <v>0</v>
      </c>
    </row>
    <row r="326" spans="1:7" ht="15.75" x14ac:dyDescent="0.25">
      <c r="A326" s="867"/>
      <c r="B326" s="865"/>
      <c r="C326" s="1413">
        <v>0</v>
      </c>
      <c r="D326" s="1414"/>
      <c r="E326" s="899">
        <v>0</v>
      </c>
      <c r="F326" s="878">
        <f>E326*C326</f>
        <v>0</v>
      </c>
      <c r="G326" s="20"/>
    </row>
    <row r="327" spans="1:7" ht="16.5" thickBot="1" x14ac:dyDescent="0.3">
      <c r="A327" s="879"/>
      <c r="B327" s="872"/>
      <c r="C327" s="1391">
        <v>0</v>
      </c>
      <c r="D327" s="1392"/>
      <c r="E327" s="898">
        <v>0</v>
      </c>
      <c r="F327" s="880">
        <f>E327*C327</f>
        <v>0</v>
      </c>
      <c r="G327" s="20"/>
    </row>
    <row r="328" spans="1:7" ht="16.5" thickTop="1" thickBot="1" x14ac:dyDescent="0.3"/>
    <row r="329" spans="1:7" ht="17.25" thickTop="1" thickBot="1" x14ac:dyDescent="0.3">
      <c r="A329" s="204"/>
      <c r="B329" s="208"/>
      <c r="C329" s="204"/>
      <c r="D329" s="204"/>
      <c r="E329" s="1181" t="s">
        <v>1178</v>
      </c>
      <c r="F329" s="1182"/>
      <c r="G329" s="875">
        <f>SUM(F324:F327)</f>
        <v>0</v>
      </c>
    </row>
    <row r="330" spans="1:7" ht="16.5" thickTop="1" thickBot="1" x14ac:dyDescent="0.3">
      <c r="G330" s="20"/>
    </row>
    <row r="331" spans="1:7" ht="17.25" thickTop="1" thickBot="1" x14ac:dyDescent="0.3">
      <c r="A331" s="1181" t="s">
        <v>193</v>
      </c>
      <c r="B331" s="1182"/>
      <c r="C331" s="1181" t="s">
        <v>1179</v>
      </c>
      <c r="D331" s="1182"/>
      <c r="E331" s="858" t="s">
        <v>1180</v>
      </c>
      <c r="F331" s="858" t="s">
        <v>614</v>
      </c>
      <c r="G331" s="20"/>
    </row>
    <row r="332" spans="1:7" ht="16.5" thickTop="1" x14ac:dyDescent="0.25">
      <c r="A332" s="1393" t="s">
        <v>1241</v>
      </c>
      <c r="B332" s="1394"/>
      <c r="C332" s="1395">
        <v>0.15</v>
      </c>
      <c r="D332" s="1396"/>
      <c r="E332" s="250">
        <v>24.3</v>
      </c>
      <c r="F332" s="885">
        <f>E332*C332</f>
        <v>3.645</v>
      </c>
      <c r="G332" s="20"/>
    </row>
    <row r="333" spans="1:7" ht="15.75" x14ac:dyDescent="0.25">
      <c r="A333" s="1409"/>
      <c r="B333" s="1410"/>
      <c r="C333" s="1411">
        <v>0</v>
      </c>
      <c r="D333" s="1412"/>
      <c r="E333" s="868">
        <v>0</v>
      </c>
      <c r="F333" s="887">
        <f>E333*C333</f>
        <v>0</v>
      </c>
      <c r="G333" s="20"/>
    </row>
    <row r="334" spans="1:7" ht="15.75" x14ac:dyDescent="0.25">
      <c r="A334" s="1409"/>
      <c r="B334" s="1410"/>
      <c r="C334" s="1411">
        <v>0</v>
      </c>
      <c r="D334" s="1412"/>
      <c r="E334" s="868">
        <v>0</v>
      </c>
      <c r="F334" s="887">
        <f>E334*C334</f>
        <v>0</v>
      </c>
      <c r="G334" s="20"/>
    </row>
    <row r="335" spans="1:7" ht="16.5" thickBot="1" x14ac:dyDescent="0.3">
      <c r="A335" s="1415"/>
      <c r="B335" s="1416"/>
      <c r="C335" s="1417">
        <v>0</v>
      </c>
      <c r="D335" s="1418"/>
      <c r="E335" s="874">
        <v>0</v>
      </c>
      <c r="F335" s="889">
        <f>E335*C335</f>
        <v>0</v>
      </c>
      <c r="G335" s="20"/>
    </row>
    <row r="336" spans="1:7" ht="17.25" thickTop="1" thickBot="1" x14ac:dyDescent="0.3">
      <c r="A336" s="204"/>
      <c r="B336" s="208"/>
    </row>
    <row r="337" spans="1:7" ht="17.25" thickTop="1" thickBot="1" x14ac:dyDescent="0.3">
      <c r="A337" s="20"/>
      <c r="B337" s="39"/>
      <c r="C337" s="20"/>
      <c r="D337" s="20"/>
      <c r="E337" s="1181" t="s">
        <v>1183</v>
      </c>
      <c r="F337" s="1182"/>
      <c r="G337" s="875">
        <f>SUM(F332:F335)</f>
        <v>3.645</v>
      </c>
    </row>
    <row r="338" spans="1:7" ht="16.5" thickTop="1" thickBot="1" x14ac:dyDescent="0.3">
      <c r="A338" s="20"/>
      <c r="B338" s="39"/>
      <c r="C338" s="20"/>
    </row>
    <row r="339" spans="1:7" ht="17.25" thickTop="1" thickBot="1" x14ac:dyDescent="0.3">
      <c r="D339" s="1384" t="s">
        <v>1181</v>
      </c>
      <c r="E339" s="1385"/>
      <c r="F339" s="1386"/>
      <c r="G339" s="881">
        <f>G321+G329+G337</f>
        <v>7.541500000000001</v>
      </c>
    </row>
    <row r="340" spans="1:7" ht="16.5" thickTop="1" thickBot="1" x14ac:dyDescent="0.3"/>
    <row r="341" spans="1:7" ht="17.25" thickTop="1" thickBot="1" x14ac:dyDescent="0.3">
      <c r="A341" s="1384" t="s">
        <v>1190</v>
      </c>
      <c r="B341" s="1385"/>
      <c r="C341" s="1386"/>
      <c r="D341" s="896">
        <v>1.42</v>
      </c>
      <c r="G341" s="881">
        <f>G339*D341</f>
        <v>10.708930000000001</v>
      </c>
    </row>
    <row r="342" spans="1:7" ht="15.75" thickTop="1" x14ac:dyDescent="0.25"/>
    <row r="345" spans="1:7" ht="15.75" thickBot="1" x14ac:dyDescent="0.3"/>
    <row r="346" spans="1:7" ht="17.25" thickTop="1" thickBot="1" x14ac:dyDescent="0.3">
      <c r="A346" s="1397" t="s">
        <v>1175</v>
      </c>
      <c r="B346" s="1399" t="s">
        <v>1245</v>
      </c>
      <c r="C346" s="1399"/>
      <c r="D346" s="1400"/>
      <c r="E346" s="860" t="s">
        <v>57</v>
      </c>
      <c r="F346" s="1403">
        <f ca="1">TODAY()</f>
        <v>46093</v>
      </c>
      <c r="G346" s="1404"/>
    </row>
    <row r="347" spans="1:7" ht="17.25" thickTop="1" thickBot="1" x14ac:dyDescent="0.3">
      <c r="A347" s="1398"/>
      <c r="B347" s="1401"/>
      <c r="C347" s="1401"/>
      <c r="D347" s="1402"/>
      <c r="E347" s="861" t="s">
        <v>1176</v>
      </c>
      <c r="F347" s="1405" t="s">
        <v>290</v>
      </c>
      <c r="G347" s="1406"/>
    </row>
    <row r="348" spans="1:7" ht="17.25" thickTop="1" thickBot="1" x14ac:dyDescent="0.3">
      <c r="A348" s="204"/>
      <c r="B348" s="208"/>
      <c r="C348" s="204"/>
      <c r="D348" s="204"/>
      <c r="E348" s="204"/>
      <c r="F348" s="204"/>
      <c r="G348" s="20"/>
    </row>
    <row r="349" spans="1:7" ht="33" thickTop="1" thickBot="1" x14ac:dyDescent="0.3">
      <c r="A349" s="8" t="s">
        <v>612</v>
      </c>
      <c r="B349" s="862" t="s">
        <v>3</v>
      </c>
      <c r="C349" s="8" t="s">
        <v>622</v>
      </c>
      <c r="D349" s="863" t="s">
        <v>334</v>
      </c>
      <c r="E349" s="864" t="s">
        <v>1107</v>
      </c>
      <c r="F349" s="858" t="s">
        <v>7</v>
      </c>
      <c r="G349" s="858" t="s">
        <v>614</v>
      </c>
    </row>
    <row r="350" spans="1:7" ht="16.5" thickTop="1" x14ac:dyDescent="0.25">
      <c r="A350" s="876" t="s">
        <v>1242</v>
      </c>
      <c r="B350" s="865" t="s">
        <v>290</v>
      </c>
      <c r="C350" s="223">
        <v>0</v>
      </c>
      <c r="D350" s="883">
        <v>1</v>
      </c>
      <c r="E350" s="650">
        <f t="shared" ref="E350:E360" si="16">SUM(D350+C350*D350)</f>
        <v>1</v>
      </c>
      <c r="F350" s="250">
        <v>93.57</v>
      </c>
      <c r="G350" s="877">
        <f>F350*E350</f>
        <v>93.57</v>
      </c>
    </row>
    <row r="351" spans="1:7" ht="15.75" x14ac:dyDescent="0.25">
      <c r="A351" s="867" t="s">
        <v>1243</v>
      </c>
      <c r="B351" s="865" t="s">
        <v>14</v>
      </c>
      <c r="C351" s="866">
        <v>0</v>
      </c>
      <c r="D351" s="217">
        <v>40</v>
      </c>
      <c r="E351" s="217">
        <f t="shared" si="16"/>
        <v>40</v>
      </c>
      <c r="F351" s="870">
        <v>1.24</v>
      </c>
      <c r="G351" s="892">
        <f>F351*E351</f>
        <v>49.6</v>
      </c>
    </row>
    <row r="352" spans="1:7" ht="31.5" x14ac:dyDescent="0.25">
      <c r="A352" s="869" t="s">
        <v>1244</v>
      </c>
      <c r="B352" s="865" t="s">
        <v>12</v>
      </c>
      <c r="C352" s="866">
        <v>0</v>
      </c>
      <c r="D352" s="217">
        <v>3.42</v>
      </c>
      <c r="E352" s="217">
        <f t="shared" si="16"/>
        <v>3.42</v>
      </c>
      <c r="F352" s="870">
        <v>2.68</v>
      </c>
      <c r="G352" s="892">
        <f>F352*E352</f>
        <v>9.1655999999999995</v>
      </c>
    </row>
    <row r="353" spans="1:7" ht="15.75" x14ac:dyDescent="0.25">
      <c r="A353" s="867"/>
      <c r="B353" s="865"/>
      <c r="C353" s="223">
        <v>0</v>
      </c>
      <c r="D353" s="650">
        <v>0</v>
      </c>
      <c r="E353" s="650">
        <f t="shared" si="16"/>
        <v>0</v>
      </c>
      <c r="F353" s="868">
        <v>0</v>
      </c>
      <c r="G353" s="892">
        <f>F353*E353</f>
        <v>0</v>
      </c>
    </row>
    <row r="354" spans="1:7" ht="15.75" x14ac:dyDescent="0.25">
      <c r="A354" s="867"/>
      <c r="B354" s="865"/>
      <c r="C354" s="223">
        <v>0</v>
      </c>
      <c r="D354" s="650">
        <v>0</v>
      </c>
      <c r="E354" s="650">
        <f t="shared" si="16"/>
        <v>0</v>
      </c>
      <c r="F354" s="868">
        <v>0</v>
      </c>
      <c r="G354" s="892">
        <f t="shared" ref="G354:G361" si="17">F354*E354</f>
        <v>0</v>
      </c>
    </row>
    <row r="355" spans="1:7" ht="15.75" x14ac:dyDescent="0.25">
      <c r="A355" s="867"/>
      <c r="B355" s="865"/>
      <c r="C355" s="223">
        <v>0</v>
      </c>
      <c r="D355" s="650">
        <v>0</v>
      </c>
      <c r="E355" s="650">
        <f t="shared" si="16"/>
        <v>0</v>
      </c>
      <c r="F355" s="868">
        <v>0</v>
      </c>
      <c r="G355" s="892">
        <f t="shared" si="17"/>
        <v>0</v>
      </c>
    </row>
    <row r="356" spans="1:7" ht="15.75" x14ac:dyDescent="0.25">
      <c r="A356" s="869"/>
      <c r="B356" s="865"/>
      <c r="C356" s="866">
        <v>0</v>
      </c>
      <c r="D356" s="650">
        <v>0</v>
      </c>
      <c r="E356" s="217">
        <f t="shared" si="16"/>
        <v>0</v>
      </c>
      <c r="F356" s="870">
        <v>0</v>
      </c>
      <c r="G356" s="892">
        <f t="shared" si="17"/>
        <v>0</v>
      </c>
    </row>
    <row r="357" spans="1:7" ht="15.75" x14ac:dyDescent="0.25">
      <c r="A357" s="867"/>
      <c r="B357" s="865"/>
      <c r="C357" s="223">
        <v>0</v>
      </c>
      <c r="D357" s="650">
        <v>0</v>
      </c>
      <c r="E357" s="650">
        <f t="shared" si="16"/>
        <v>0</v>
      </c>
      <c r="F357" s="868">
        <v>0</v>
      </c>
      <c r="G357" s="892">
        <f t="shared" si="17"/>
        <v>0</v>
      </c>
    </row>
    <row r="358" spans="1:7" ht="15.75" x14ac:dyDescent="0.25">
      <c r="A358" s="869"/>
      <c r="B358" s="865"/>
      <c r="C358" s="866">
        <v>0</v>
      </c>
      <c r="D358" s="650">
        <v>0</v>
      </c>
      <c r="E358" s="217">
        <f t="shared" si="16"/>
        <v>0</v>
      </c>
      <c r="F358" s="870">
        <v>0</v>
      </c>
      <c r="G358" s="892">
        <f t="shared" si="17"/>
        <v>0</v>
      </c>
    </row>
    <row r="359" spans="1:7" ht="15.75" x14ac:dyDescent="0.25">
      <c r="A359" s="882"/>
      <c r="B359" s="865"/>
      <c r="C359" s="866">
        <v>0</v>
      </c>
      <c r="D359" s="650">
        <v>0</v>
      </c>
      <c r="E359" s="217">
        <f t="shared" si="16"/>
        <v>0</v>
      </c>
      <c r="F359" s="870">
        <v>0</v>
      </c>
      <c r="G359" s="892">
        <f t="shared" si="17"/>
        <v>0</v>
      </c>
    </row>
    <row r="360" spans="1:7" ht="15.75" x14ac:dyDescent="0.25">
      <c r="A360" s="869"/>
      <c r="B360" s="865"/>
      <c r="C360" s="866">
        <v>0</v>
      </c>
      <c r="D360" s="650">
        <v>0</v>
      </c>
      <c r="E360" s="217">
        <f t="shared" si="16"/>
        <v>0</v>
      </c>
      <c r="F360" s="870">
        <v>0</v>
      </c>
      <c r="G360" s="892">
        <f t="shared" si="17"/>
        <v>0</v>
      </c>
    </row>
    <row r="361" spans="1:7" ht="16.5" thickBot="1" x14ac:dyDescent="0.3">
      <c r="A361" s="871"/>
      <c r="B361" s="872"/>
      <c r="C361" s="873">
        <v>0</v>
      </c>
      <c r="D361" s="221">
        <v>0</v>
      </c>
      <c r="E361" s="221">
        <f>SUM(D361+C361*D361)</f>
        <v>0</v>
      </c>
      <c r="F361" s="874">
        <v>0</v>
      </c>
      <c r="G361" s="893">
        <f t="shared" si="17"/>
        <v>0</v>
      </c>
    </row>
    <row r="362" spans="1:7" ht="16.5" thickTop="1" thickBot="1" x14ac:dyDescent="0.3"/>
    <row r="363" spans="1:7" ht="17.25" thickTop="1" thickBot="1" x14ac:dyDescent="0.3">
      <c r="E363" s="1181" t="s">
        <v>1182</v>
      </c>
      <c r="F363" s="1182"/>
      <c r="G363" s="875">
        <f>SUM(G350:G361)</f>
        <v>152.3356</v>
      </c>
    </row>
    <row r="364" spans="1:7" ht="17.25" thickTop="1" thickBot="1" x14ac:dyDescent="0.3">
      <c r="A364" s="204"/>
      <c r="B364" s="208"/>
      <c r="C364" s="204"/>
    </row>
    <row r="365" spans="1:7" ht="17.25" thickTop="1" thickBot="1" x14ac:dyDescent="0.3">
      <c r="A365" s="8" t="s">
        <v>1177</v>
      </c>
      <c r="B365" s="862" t="s">
        <v>3</v>
      </c>
      <c r="C365" s="1181" t="s">
        <v>334</v>
      </c>
      <c r="D365" s="1182"/>
      <c r="E365" s="858" t="s">
        <v>7</v>
      </c>
      <c r="F365" s="858" t="s">
        <v>614</v>
      </c>
      <c r="G365" s="20"/>
    </row>
    <row r="366" spans="1:7" ht="16.5" thickTop="1" x14ac:dyDescent="0.25">
      <c r="A366" s="876"/>
      <c r="B366" s="865"/>
      <c r="C366" s="1407">
        <v>0</v>
      </c>
      <c r="D366" s="1408"/>
      <c r="E366" s="897">
        <v>0</v>
      </c>
      <c r="F366" s="877">
        <f>E366*C366</f>
        <v>0</v>
      </c>
    </row>
    <row r="367" spans="1:7" ht="15.75" x14ac:dyDescent="0.25">
      <c r="A367" s="867"/>
      <c r="B367" s="865"/>
      <c r="C367" s="1413">
        <v>0</v>
      </c>
      <c r="D367" s="1414"/>
      <c r="E367" s="899">
        <v>0</v>
      </c>
      <c r="F367" s="878">
        <f>E367*C367</f>
        <v>0</v>
      </c>
    </row>
    <row r="368" spans="1:7" ht="15.75" x14ac:dyDescent="0.25">
      <c r="A368" s="867"/>
      <c r="B368" s="865"/>
      <c r="C368" s="1413">
        <v>0</v>
      </c>
      <c r="D368" s="1414"/>
      <c r="E368" s="899">
        <v>0</v>
      </c>
      <c r="F368" s="878">
        <f>E368*C368</f>
        <v>0</v>
      </c>
      <c r="G368" s="20"/>
    </row>
    <row r="369" spans="1:7" ht="16.5" thickBot="1" x14ac:dyDescent="0.3">
      <c r="A369" s="879"/>
      <c r="B369" s="872"/>
      <c r="C369" s="1391">
        <v>0</v>
      </c>
      <c r="D369" s="1392"/>
      <c r="E369" s="898">
        <v>0</v>
      </c>
      <c r="F369" s="880">
        <f>E369*C369</f>
        <v>0</v>
      </c>
      <c r="G369" s="20"/>
    </row>
    <row r="370" spans="1:7" ht="16.5" thickTop="1" thickBot="1" x14ac:dyDescent="0.3"/>
    <row r="371" spans="1:7" ht="17.25" thickTop="1" thickBot="1" x14ac:dyDescent="0.3">
      <c r="A371" s="204"/>
      <c r="B371" s="208"/>
      <c r="C371" s="204"/>
      <c r="D371" s="204"/>
      <c r="E371" s="1181" t="s">
        <v>1178</v>
      </c>
      <c r="F371" s="1182"/>
      <c r="G371" s="875">
        <f>SUM(F366:F369)</f>
        <v>0</v>
      </c>
    </row>
    <row r="372" spans="1:7" ht="16.5" thickTop="1" thickBot="1" x14ac:dyDescent="0.3">
      <c r="G372" s="20"/>
    </row>
    <row r="373" spans="1:7" ht="17.25" thickTop="1" thickBot="1" x14ac:dyDescent="0.3">
      <c r="A373" s="1181" t="s">
        <v>193</v>
      </c>
      <c r="B373" s="1182"/>
      <c r="C373" s="1181" t="s">
        <v>1179</v>
      </c>
      <c r="D373" s="1182"/>
      <c r="E373" s="858" t="s">
        <v>1180</v>
      </c>
      <c r="F373" s="858" t="s">
        <v>614</v>
      </c>
      <c r="G373" s="20"/>
    </row>
    <row r="374" spans="1:7" ht="16.5" thickTop="1" x14ac:dyDescent="0.25">
      <c r="A374" s="1393" t="s">
        <v>1246</v>
      </c>
      <c r="B374" s="1394"/>
      <c r="C374" s="1395">
        <v>0.45</v>
      </c>
      <c r="D374" s="1396"/>
      <c r="E374" s="250">
        <v>24.3</v>
      </c>
      <c r="F374" s="885">
        <f>E374*C374</f>
        <v>10.935</v>
      </c>
      <c r="G374" s="20"/>
    </row>
    <row r="375" spans="1:7" ht="15.75" x14ac:dyDescent="0.25">
      <c r="A375" s="1409" t="s">
        <v>1247</v>
      </c>
      <c r="B375" s="1410"/>
      <c r="C375" s="1411">
        <v>0.02</v>
      </c>
      <c r="D375" s="1412"/>
      <c r="E375" s="868">
        <v>24.3</v>
      </c>
      <c r="F375" s="887">
        <f>E375*C375</f>
        <v>0.48600000000000004</v>
      </c>
      <c r="G375" s="20"/>
    </row>
    <row r="376" spans="1:7" ht="15.75" x14ac:dyDescent="0.25">
      <c r="A376" s="1409" t="s">
        <v>1248</v>
      </c>
      <c r="B376" s="1410"/>
      <c r="C376" s="1411">
        <v>1.05</v>
      </c>
      <c r="D376" s="1412"/>
      <c r="E376" s="868">
        <v>24.3</v>
      </c>
      <c r="F376" s="887">
        <f>E376*C376</f>
        <v>25.515000000000001</v>
      </c>
      <c r="G376" s="20"/>
    </row>
    <row r="377" spans="1:7" ht="16.5" thickBot="1" x14ac:dyDescent="0.3">
      <c r="A377" s="1415"/>
      <c r="B377" s="1416"/>
      <c r="C377" s="1417">
        <v>0</v>
      </c>
      <c r="D377" s="1418"/>
      <c r="E377" s="874">
        <v>0</v>
      </c>
      <c r="F377" s="889">
        <f>E377*C377</f>
        <v>0</v>
      </c>
      <c r="G377" s="20"/>
    </row>
    <row r="378" spans="1:7" ht="17.25" thickTop="1" thickBot="1" x14ac:dyDescent="0.3">
      <c r="A378" s="204"/>
      <c r="B378" s="208"/>
    </row>
    <row r="379" spans="1:7" ht="17.25" thickTop="1" thickBot="1" x14ac:dyDescent="0.3">
      <c r="A379" s="20"/>
      <c r="B379" s="39"/>
      <c r="C379" s="20"/>
      <c r="D379" s="20"/>
      <c r="E379" s="1181" t="s">
        <v>1183</v>
      </c>
      <c r="F379" s="1182"/>
      <c r="G379" s="875">
        <f>SUM(F374:F377)</f>
        <v>36.936</v>
      </c>
    </row>
    <row r="380" spans="1:7" ht="16.5" thickTop="1" thickBot="1" x14ac:dyDescent="0.3">
      <c r="A380" s="20"/>
      <c r="B380" s="39"/>
      <c r="C380" s="20"/>
    </row>
    <row r="381" spans="1:7" ht="17.25" thickTop="1" thickBot="1" x14ac:dyDescent="0.3">
      <c r="D381" s="1384" t="s">
        <v>1181</v>
      </c>
      <c r="E381" s="1385"/>
      <c r="F381" s="1386"/>
      <c r="G381" s="881">
        <f>G363+G371+G379</f>
        <v>189.27160000000001</v>
      </c>
    </row>
    <row r="382" spans="1:7" ht="16.5" thickTop="1" thickBot="1" x14ac:dyDescent="0.3"/>
    <row r="383" spans="1:7" ht="17.25" thickTop="1" thickBot="1" x14ac:dyDescent="0.3">
      <c r="A383" s="1384" t="s">
        <v>1190</v>
      </c>
      <c r="B383" s="1385"/>
      <c r="C383" s="1386"/>
      <c r="D383" s="896">
        <f>D341</f>
        <v>1.42</v>
      </c>
      <c r="G383" s="881">
        <f>G381*D383</f>
        <v>268.765672</v>
      </c>
    </row>
    <row r="384" spans="1:7" ht="15.75" thickTop="1" x14ac:dyDescent="0.25"/>
    <row r="386" spans="1:7" ht="15.75" thickBot="1" x14ac:dyDescent="0.3"/>
    <row r="387" spans="1:7" ht="17.25" thickTop="1" thickBot="1" x14ac:dyDescent="0.3">
      <c r="A387" s="1397" t="s">
        <v>1175</v>
      </c>
      <c r="B387" s="1399" t="s">
        <v>1234</v>
      </c>
      <c r="C387" s="1399"/>
      <c r="D387" s="1400"/>
      <c r="E387" s="860" t="s">
        <v>57</v>
      </c>
      <c r="F387" s="1403">
        <f ca="1">TODAY()</f>
        <v>46093</v>
      </c>
      <c r="G387" s="1404"/>
    </row>
    <row r="388" spans="1:7" ht="17.25" thickTop="1" thickBot="1" x14ac:dyDescent="0.3">
      <c r="A388" s="1398"/>
      <c r="B388" s="1401"/>
      <c r="C388" s="1401"/>
      <c r="D388" s="1402"/>
      <c r="E388" s="861" t="s">
        <v>1176</v>
      </c>
      <c r="F388" s="1405" t="s">
        <v>12</v>
      </c>
      <c r="G388" s="1406"/>
    </row>
    <row r="389" spans="1:7" ht="17.25" thickTop="1" thickBot="1" x14ac:dyDescent="0.3">
      <c r="A389" s="204"/>
      <c r="B389" s="208"/>
      <c r="C389" s="204"/>
      <c r="D389" s="204"/>
      <c r="E389" s="204"/>
      <c r="F389" s="204"/>
      <c r="G389" s="20"/>
    </row>
    <row r="390" spans="1:7" ht="33" thickTop="1" thickBot="1" x14ac:dyDescent="0.3">
      <c r="A390" s="8" t="s">
        <v>612</v>
      </c>
      <c r="B390" s="862" t="s">
        <v>3</v>
      </c>
      <c r="C390" s="8" t="s">
        <v>622</v>
      </c>
      <c r="D390" s="863" t="s">
        <v>334</v>
      </c>
      <c r="E390" s="864" t="s">
        <v>1107</v>
      </c>
      <c r="F390" s="858" t="s">
        <v>7</v>
      </c>
      <c r="G390" s="858" t="s">
        <v>614</v>
      </c>
    </row>
    <row r="391" spans="1:7" ht="16.5" thickTop="1" x14ac:dyDescent="0.25">
      <c r="A391" s="876" t="s">
        <v>1250</v>
      </c>
      <c r="B391" s="865" t="s">
        <v>12</v>
      </c>
      <c r="C391" s="223">
        <v>0</v>
      </c>
      <c r="D391" s="883">
        <v>1</v>
      </c>
      <c r="E391" s="650">
        <f t="shared" ref="E391:E401" si="18">SUM(D391+C391*D391)</f>
        <v>1</v>
      </c>
      <c r="F391" s="250">
        <v>26.37</v>
      </c>
      <c r="G391" s="877">
        <f>F391*E391</f>
        <v>26.37</v>
      </c>
    </row>
    <row r="392" spans="1:7" ht="15.75" x14ac:dyDescent="0.25">
      <c r="A392" s="867" t="s">
        <v>1251</v>
      </c>
      <c r="B392" s="865" t="s">
        <v>290</v>
      </c>
      <c r="C392" s="223">
        <v>0</v>
      </c>
      <c r="D392" s="906">
        <v>6.0999999999999999E-2</v>
      </c>
      <c r="E392" s="650">
        <f t="shared" si="18"/>
        <v>6.0999999999999999E-2</v>
      </c>
      <c r="F392" s="868">
        <v>94.87</v>
      </c>
      <c r="G392" s="892">
        <f>F392*E392</f>
        <v>5.7870699999999999</v>
      </c>
    </row>
    <row r="393" spans="1:7" ht="15.75" x14ac:dyDescent="0.25">
      <c r="A393" s="867" t="s">
        <v>1252</v>
      </c>
      <c r="B393" s="865" t="s">
        <v>14</v>
      </c>
      <c r="C393" s="223">
        <v>0</v>
      </c>
      <c r="D393" s="650">
        <v>0.5</v>
      </c>
      <c r="E393" s="650">
        <f t="shared" si="18"/>
        <v>0.5</v>
      </c>
      <c r="F393" s="868">
        <v>1.24</v>
      </c>
      <c r="G393" s="892">
        <f>F393*E393</f>
        <v>0.62</v>
      </c>
    </row>
    <row r="394" spans="1:7" ht="15.75" x14ac:dyDescent="0.25">
      <c r="A394" s="867" t="s">
        <v>1253</v>
      </c>
      <c r="B394" s="865" t="s">
        <v>14</v>
      </c>
      <c r="C394" s="223">
        <v>0</v>
      </c>
      <c r="D394" s="650">
        <v>1.5</v>
      </c>
      <c r="E394" s="650">
        <f t="shared" si="18"/>
        <v>1.5</v>
      </c>
      <c r="F394" s="868">
        <v>2.82</v>
      </c>
      <c r="G394" s="892">
        <f>F394*E394</f>
        <v>4.2299999999999995</v>
      </c>
    </row>
    <row r="395" spans="1:7" ht="31.5" x14ac:dyDescent="0.25">
      <c r="A395" s="869" t="s">
        <v>1254</v>
      </c>
      <c r="B395" s="865" t="s">
        <v>12</v>
      </c>
      <c r="C395" s="866">
        <v>0</v>
      </c>
      <c r="D395" s="217">
        <v>0.1</v>
      </c>
      <c r="E395" s="217">
        <f t="shared" si="18"/>
        <v>0.1</v>
      </c>
      <c r="F395" s="870">
        <v>21.16</v>
      </c>
      <c r="G395" s="892">
        <f t="shared" ref="G395:G402" si="19">F395*E395</f>
        <v>2.1160000000000001</v>
      </c>
    </row>
    <row r="396" spans="1:7" ht="15.75" x14ac:dyDescent="0.25">
      <c r="A396" s="867"/>
      <c r="B396" s="865"/>
      <c r="C396" s="223">
        <v>0</v>
      </c>
      <c r="D396" s="650">
        <v>0</v>
      </c>
      <c r="E396" s="650">
        <f t="shared" si="18"/>
        <v>0</v>
      </c>
      <c r="F396" s="868">
        <v>0</v>
      </c>
      <c r="G396" s="892">
        <f t="shared" si="19"/>
        <v>0</v>
      </c>
    </row>
    <row r="397" spans="1:7" ht="15.75" x14ac:dyDescent="0.25">
      <c r="A397" s="869"/>
      <c r="B397" s="865"/>
      <c r="C397" s="866">
        <v>0</v>
      </c>
      <c r="D397" s="650">
        <v>0</v>
      </c>
      <c r="E397" s="217">
        <f t="shared" si="18"/>
        <v>0</v>
      </c>
      <c r="F397" s="870">
        <v>0</v>
      </c>
      <c r="G397" s="892">
        <f t="shared" si="19"/>
        <v>0</v>
      </c>
    </row>
    <row r="398" spans="1:7" ht="15.75" x14ac:dyDescent="0.25">
      <c r="A398" s="867"/>
      <c r="B398" s="865"/>
      <c r="C398" s="223">
        <v>0</v>
      </c>
      <c r="D398" s="650">
        <v>0</v>
      </c>
      <c r="E398" s="650">
        <f t="shared" si="18"/>
        <v>0</v>
      </c>
      <c r="F398" s="868">
        <v>0</v>
      </c>
      <c r="G398" s="892">
        <f t="shared" si="19"/>
        <v>0</v>
      </c>
    </row>
    <row r="399" spans="1:7" ht="15.75" x14ac:dyDescent="0.25">
      <c r="A399" s="869"/>
      <c r="B399" s="865"/>
      <c r="C399" s="866">
        <v>0</v>
      </c>
      <c r="D399" s="650">
        <v>0</v>
      </c>
      <c r="E399" s="217">
        <f t="shared" si="18"/>
        <v>0</v>
      </c>
      <c r="F399" s="870">
        <v>0</v>
      </c>
      <c r="G399" s="892">
        <f t="shared" si="19"/>
        <v>0</v>
      </c>
    </row>
    <row r="400" spans="1:7" ht="15.75" x14ac:dyDescent="0.25">
      <c r="A400" s="882"/>
      <c r="B400" s="865"/>
      <c r="C400" s="866">
        <v>0</v>
      </c>
      <c r="D400" s="650">
        <v>0</v>
      </c>
      <c r="E400" s="217">
        <f t="shared" si="18"/>
        <v>0</v>
      </c>
      <c r="F400" s="870">
        <v>0</v>
      </c>
      <c r="G400" s="892">
        <f t="shared" si="19"/>
        <v>0</v>
      </c>
    </row>
    <row r="401" spans="1:7" ht="15.75" x14ac:dyDescent="0.25">
      <c r="A401" s="869"/>
      <c r="B401" s="865"/>
      <c r="C401" s="866">
        <v>0</v>
      </c>
      <c r="D401" s="650">
        <v>0</v>
      </c>
      <c r="E401" s="217">
        <f t="shared" si="18"/>
        <v>0</v>
      </c>
      <c r="F401" s="870">
        <v>0</v>
      </c>
      <c r="G401" s="892">
        <f t="shared" si="19"/>
        <v>0</v>
      </c>
    </row>
    <row r="402" spans="1:7" ht="16.5" thickBot="1" x14ac:dyDescent="0.3">
      <c r="A402" s="871"/>
      <c r="B402" s="872"/>
      <c r="C402" s="873">
        <v>0</v>
      </c>
      <c r="D402" s="221">
        <v>0</v>
      </c>
      <c r="E402" s="221">
        <f>SUM(D402+C402*D402)</f>
        <v>0</v>
      </c>
      <c r="F402" s="874">
        <v>0</v>
      </c>
      <c r="G402" s="893">
        <f t="shared" si="19"/>
        <v>0</v>
      </c>
    </row>
    <row r="403" spans="1:7" ht="16.5" thickTop="1" thickBot="1" x14ac:dyDescent="0.3"/>
    <row r="404" spans="1:7" ht="17.25" thickTop="1" thickBot="1" x14ac:dyDescent="0.3">
      <c r="E404" s="1181" t="s">
        <v>1182</v>
      </c>
      <c r="F404" s="1182"/>
      <c r="G404" s="875">
        <f>SUM(G391:G402)</f>
        <v>39.123069999999998</v>
      </c>
    </row>
    <row r="405" spans="1:7" ht="17.25" thickTop="1" thickBot="1" x14ac:dyDescent="0.3">
      <c r="A405" s="204"/>
      <c r="B405" s="208"/>
      <c r="C405" s="204"/>
    </row>
    <row r="406" spans="1:7" ht="17.25" thickTop="1" thickBot="1" x14ac:dyDescent="0.3">
      <c r="A406" s="8" t="s">
        <v>1177</v>
      </c>
      <c r="B406" s="862" t="s">
        <v>3</v>
      </c>
      <c r="C406" s="1181" t="s">
        <v>334</v>
      </c>
      <c r="D406" s="1182"/>
      <c r="E406" s="858" t="s">
        <v>7</v>
      </c>
      <c r="F406" s="858" t="s">
        <v>614</v>
      </c>
      <c r="G406" s="20"/>
    </row>
    <row r="407" spans="1:7" ht="16.5" thickTop="1" x14ac:dyDescent="0.25">
      <c r="A407" s="876"/>
      <c r="B407" s="865"/>
      <c r="C407" s="1407">
        <v>0</v>
      </c>
      <c r="D407" s="1408"/>
      <c r="E407" s="897">
        <v>0</v>
      </c>
      <c r="F407" s="877">
        <f>E407*C407</f>
        <v>0</v>
      </c>
    </row>
    <row r="408" spans="1:7" ht="15.75" x14ac:dyDescent="0.25">
      <c r="A408" s="867"/>
      <c r="B408" s="865"/>
      <c r="C408" s="1413">
        <v>0</v>
      </c>
      <c r="D408" s="1414"/>
      <c r="E408" s="899">
        <v>0</v>
      </c>
      <c r="F408" s="878">
        <f>E408*C408</f>
        <v>0</v>
      </c>
    </row>
    <row r="409" spans="1:7" ht="15.75" x14ac:dyDescent="0.25">
      <c r="A409" s="867"/>
      <c r="B409" s="865"/>
      <c r="C409" s="1413">
        <v>0</v>
      </c>
      <c r="D409" s="1414"/>
      <c r="E409" s="899">
        <v>0</v>
      </c>
      <c r="F409" s="878">
        <f>E409*C409</f>
        <v>0</v>
      </c>
      <c r="G409" s="20"/>
    </row>
    <row r="410" spans="1:7" ht="16.5" thickBot="1" x14ac:dyDescent="0.3">
      <c r="A410" s="879"/>
      <c r="B410" s="872"/>
      <c r="C410" s="1391">
        <v>0</v>
      </c>
      <c r="D410" s="1392"/>
      <c r="E410" s="898">
        <v>0</v>
      </c>
      <c r="F410" s="880">
        <f>E410*C410</f>
        <v>0</v>
      </c>
      <c r="G410" s="20"/>
    </row>
    <row r="411" spans="1:7" ht="16.5" thickTop="1" thickBot="1" x14ac:dyDescent="0.3"/>
    <row r="412" spans="1:7" ht="17.25" thickTop="1" thickBot="1" x14ac:dyDescent="0.3">
      <c r="A412" s="204"/>
      <c r="B412" s="208"/>
      <c r="C412" s="204"/>
      <c r="D412" s="204"/>
      <c r="E412" s="1181" t="s">
        <v>1178</v>
      </c>
      <c r="F412" s="1182"/>
      <c r="G412" s="875">
        <f>SUM(F407:F410)</f>
        <v>0</v>
      </c>
    </row>
    <row r="413" spans="1:7" ht="16.5" thickTop="1" thickBot="1" x14ac:dyDescent="0.3">
      <c r="G413" s="20"/>
    </row>
    <row r="414" spans="1:7" ht="17.25" thickTop="1" thickBot="1" x14ac:dyDescent="0.3">
      <c r="A414" s="1181" t="s">
        <v>193</v>
      </c>
      <c r="B414" s="1182"/>
      <c r="C414" s="1181" t="s">
        <v>1179</v>
      </c>
      <c r="D414" s="1182"/>
      <c r="E414" s="858" t="s">
        <v>1180</v>
      </c>
      <c r="F414" s="858" t="s">
        <v>614</v>
      </c>
      <c r="G414" s="20"/>
    </row>
    <row r="415" spans="1:7" ht="16.5" thickTop="1" x14ac:dyDescent="0.25">
      <c r="A415" s="1393" t="s">
        <v>1249</v>
      </c>
      <c r="B415" s="1394"/>
      <c r="C415" s="1395">
        <v>0.75</v>
      </c>
      <c r="D415" s="1396"/>
      <c r="E415" s="250">
        <v>24.3</v>
      </c>
      <c r="F415" s="885">
        <f>E415*C415</f>
        <v>18.225000000000001</v>
      </c>
      <c r="G415" s="20"/>
    </row>
    <row r="416" spans="1:7" ht="15.75" x14ac:dyDescent="0.25">
      <c r="A416" s="1409" t="s">
        <v>1255</v>
      </c>
      <c r="B416" s="1410"/>
      <c r="C416" s="1411">
        <v>0.03</v>
      </c>
      <c r="D416" s="1412"/>
      <c r="E416" s="868">
        <v>24.3</v>
      </c>
      <c r="F416" s="887">
        <f>E416*C416</f>
        <v>0.72899999999999998</v>
      </c>
      <c r="G416" s="20"/>
    </row>
    <row r="417" spans="1:7" ht="15.75" x14ac:dyDescent="0.25">
      <c r="A417" s="1409" t="s">
        <v>1256</v>
      </c>
      <c r="B417" s="1410"/>
      <c r="C417" s="1411">
        <v>0.25</v>
      </c>
      <c r="D417" s="1412"/>
      <c r="E417" s="868">
        <v>24.3</v>
      </c>
      <c r="F417" s="887">
        <f>E417*C417</f>
        <v>6.0750000000000002</v>
      </c>
      <c r="G417" s="20"/>
    </row>
    <row r="418" spans="1:7" ht="15.75" x14ac:dyDescent="0.25">
      <c r="A418" s="1409" t="s">
        <v>1257</v>
      </c>
      <c r="B418" s="1410"/>
      <c r="C418" s="1411">
        <v>0.63</v>
      </c>
      <c r="D418" s="1412"/>
      <c r="E418" s="868">
        <v>24.3</v>
      </c>
      <c r="F418" s="887">
        <f>E418*C418</f>
        <v>15.309000000000001</v>
      </c>
      <c r="G418" s="20"/>
    </row>
    <row r="419" spans="1:7" ht="16.5" thickBot="1" x14ac:dyDescent="0.3">
      <c r="A419" s="1415"/>
      <c r="B419" s="1416"/>
      <c r="C419" s="1417"/>
      <c r="D419" s="1418"/>
      <c r="E419" s="874"/>
      <c r="F419" s="889"/>
      <c r="G419" s="20"/>
    </row>
    <row r="420" spans="1:7" ht="17.25" thickTop="1" thickBot="1" x14ac:dyDescent="0.3">
      <c r="A420" s="204"/>
      <c r="B420" s="208"/>
    </row>
    <row r="421" spans="1:7" ht="17.25" thickTop="1" thickBot="1" x14ac:dyDescent="0.3">
      <c r="A421" s="20"/>
      <c r="B421" s="39"/>
      <c r="C421" s="20"/>
      <c r="D421" s="20"/>
      <c r="E421" s="1181" t="s">
        <v>1183</v>
      </c>
      <c r="F421" s="1182"/>
      <c r="G421" s="875">
        <f>SUM(F415:F419)</f>
        <v>40.338000000000001</v>
      </c>
    </row>
    <row r="422" spans="1:7" ht="16.5" thickTop="1" thickBot="1" x14ac:dyDescent="0.3">
      <c r="A422" s="20"/>
      <c r="B422" s="39"/>
      <c r="C422" s="20"/>
    </row>
    <row r="423" spans="1:7" ht="17.25" thickTop="1" thickBot="1" x14ac:dyDescent="0.3">
      <c r="D423" s="1384" t="s">
        <v>1181</v>
      </c>
      <c r="E423" s="1385"/>
      <c r="F423" s="1386"/>
      <c r="G423" s="881">
        <f>G404+G412+G421</f>
        <v>79.461070000000007</v>
      </c>
    </row>
    <row r="424" spans="1:7" ht="16.5" thickTop="1" thickBot="1" x14ac:dyDescent="0.3"/>
    <row r="425" spans="1:7" ht="17.25" thickTop="1" thickBot="1" x14ac:dyDescent="0.3">
      <c r="A425" s="1384" t="s">
        <v>1190</v>
      </c>
      <c r="B425" s="1385"/>
      <c r="C425" s="1386"/>
      <c r="D425" s="896">
        <f>D341</f>
        <v>1.42</v>
      </c>
      <c r="G425" s="881">
        <f>G423*D425</f>
        <v>112.8347194</v>
      </c>
    </row>
    <row r="426" spans="1:7" ht="15.75" thickTop="1" x14ac:dyDescent="0.25"/>
    <row r="430" spans="1:7" ht="15.75" thickBot="1" x14ac:dyDescent="0.3"/>
    <row r="431" spans="1:7" ht="17.25" thickTop="1" thickBot="1" x14ac:dyDescent="0.3">
      <c r="A431" s="1397" t="s">
        <v>1175</v>
      </c>
      <c r="B431" s="1399" t="s">
        <v>1235</v>
      </c>
      <c r="C431" s="1399"/>
      <c r="D431" s="1400"/>
      <c r="E431" s="860" t="s">
        <v>57</v>
      </c>
      <c r="F431" s="1403">
        <f ca="1">TODAY()</f>
        <v>46093</v>
      </c>
      <c r="G431" s="1404"/>
    </row>
    <row r="432" spans="1:7" ht="17.25" thickTop="1" thickBot="1" x14ac:dyDescent="0.3">
      <c r="A432" s="1398"/>
      <c r="B432" s="1401"/>
      <c r="C432" s="1401"/>
      <c r="D432" s="1402"/>
      <c r="E432" s="861" t="s">
        <v>1176</v>
      </c>
      <c r="F432" s="1405" t="s">
        <v>11</v>
      </c>
      <c r="G432" s="1406"/>
    </row>
    <row r="433" spans="1:7" ht="17.25" thickTop="1" thickBot="1" x14ac:dyDescent="0.3">
      <c r="A433" s="204"/>
      <c r="B433" s="208"/>
      <c r="C433" s="204"/>
      <c r="D433" s="204"/>
      <c r="E433" s="204"/>
      <c r="F433" s="204"/>
      <c r="G433" s="20"/>
    </row>
    <row r="434" spans="1:7" ht="33" thickTop="1" thickBot="1" x14ac:dyDescent="0.3">
      <c r="A434" s="8" t="s">
        <v>612</v>
      </c>
      <c r="B434" s="862" t="s">
        <v>3</v>
      </c>
      <c r="C434" s="8" t="s">
        <v>622</v>
      </c>
      <c r="D434" s="863" t="s">
        <v>334</v>
      </c>
      <c r="E434" s="864" t="s">
        <v>1107</v>
      </c>
      <c r="F434" s="858" t="s">
        <v>7</v>
      </c>
      <c r="G434" s="858" t="s">
        <v>614</v>
      </c>
    </row>
    <row r="435" spans="1:7" ht="16.5" thickTop="1" x14ac:dyDescent="0.25">
      <c r="A435" s="876" t="s">
        <v>1258</v>
      </c>
      <c r="B435" s="865" t="s">
        <v>3</v>
      </c>
      <c r="C435" s="223">
        <v>0</v>
      </c>
      <c r="D435" s="665">
        <v>2</v>
      </c>
      <c r="E435" s="906">
        <f t="shared" ref="E435:E445" si="20">SUM(D435+C435*D435)</f>
        <v>2</v>
      </c>
      <c r="F435" s="250">
        <v>0.7</v>
      </c>
      <c r="G435" s="877">
        <f>F435*E435</f>
        <v>1.4</v>
      </c>
    </row>
    <row r="436" spans="1:7" ht="15.75" x14ac:dyDescent="0.25">
      <c r="A436" s="867" t="s">
        <v>1259</v>
      </c>
      <c r="B436" s="865" t="s">
        <v>290</v>
      </c>
      <c r="C436" s="223">
        <v>0</v>
      </c>
      <c r="D436" s="906">
        <v>0.01</v>
      </c>
      <c r="E436" s="906">
        <f t="shared" si="20"/>
        <v>0.01</v>
      </c>
      <c r="F436" s="868">
        <f>'SOUS DETAIL INTERMEDIAIRE MORTI'!H13</f>
        <v>192.17000000000002</v>
      </c>
      <c r="G436" s="892">
        <f>F436*E436</f>
        <v>1.9217000000000002</v>
      </c>
    </row>
    <row r="437" spans="1:7" ht="15.75" x14ac:dyDescent="0.25">
      <c r="A437" s="867"/>
      <c r="B437" s="865"/>
      <c r="C437" s="223">
        <v>0</v>
      </c>
      <c r="D437" s="650">
        <v>0</v>
      </c>
      <c r="E437" s="650">
        <f t="shared" si="20"/>
        <v>0</v>
      </c>
      <c r="F437" s="868">
        <v>0</v>
      </c>
      <c r="G437" s="892">
        <f>F437*E437</f>
        <v>0</v>
      </c>
    </row>
    <row r="438" spans="1:7" ht="15.75" x14ac:dyDescent="0.25">
      <c r="A438" s="867"/>
      <c r="B438" s="865"/>
      <c r="C438" s="223">
        <v>0</v>
      </c>
      <c r="D438" s="650">
        <v>0</v>
      </c>
      <c r="E438" s="650">
        <f t="shared" si="20"/>
        <v>0</v>
      </c>
      <c r="F438" s="868">
        <v>0</v>
      </c>
      <c r="G438" s="892">
        <f>F438*E438</f>
        <v>0</v>
      </c>
    </row>
    <row r="439" spans="1:7" ht="15.75" x14ac:dyDescent="0.25">
      <c r="A439" s="867"/>
      <c r="B439" s="865"/>
      <c r="C439" s="223">
        <v>0</v>
      </c>
      <c r="D439" s="650">
        <v>0</v>
      </c>
      <c r="E439" s="650">
        <f t="shared" si="20"/>
        <v>0</v>
      </c>
      <c r="F439" s="868">
        <v>0</v>
      </c>
      <c r="G439" s="892">
        <f t="shared" ref="G439:G446" si="21">F439*E439</f>
        <v>0</v>
      </c>
    </row>
    <row r="440" spans="1:7" ht="15.75" x14ac:dyDescent="0.25">
      <c r="A440" s="867"/>
      <c r="B440" s="865"/>
      <c r="C440" s="223">
        <v>0</v>
      </c>
      <c r="D440" s="650">
        <v>0</v>
      </c>
      <c r="E440" s="650">
        <f t="shared" si="20"/>
        <v>0</v>
      </c>
      <c r="F440" s="868">
        <v>0</v>
      </c>
      <c r="G440" s="892">
        <f t="shared" si="21"/>
        <v>0</v>
      </c>
    </row>
    <row r="441" spans="1:7" ht="15.75" x14ac:dyDescent="0.25">
      <c r="A441" s="869"/>
      <c r="B441" s="865"/>
      <c r="C441" s="866">
        <v>0</v>
      </c>
      <c r="D441" s="650">
        <v>0</v>
      </c>
      <c r="E441" s="217">
        <f t="shared" si="20"/>
        <v>0</v>
      </c>
      <c r="F441" s="870">
        <v>0</v>
      </c>
      <c r="G441" s="892">
        <f t="shared" si="21"/>
        <v>0</v>
      </c>
    </row>
    <row r="442" spans="1:7" ht="15.75" x14ac:dyDescent="0.25">
      <c r="A442" s="867"/>
      <c r="B442" s="865"/>
      <c r="C442" s="223">
        <v>0</v>
      </c>
      <c r="D442" s="650">
        <v>0</v>
      </c>
      <c r="E442" s="650">
        <f t="shared" si="20"/>
        <v>0</v>
      </c>
      <c r="F442" s="868">
        <v>0</v>
      </c>
      <c r="G442" s="892">
        <f t="shared" si="21"/>
        <v>0</v>
      </c>
    </row>
    <row r="443" spans="1:7" ht="15.75" x14ac:dyDescent="0.25">
      <c r="A443" s="869"/>
      <c r="B443" s="865"/>
      <c r="C443" s="866">
        <v>0</v>
      </c>
      <c r="D443" s="650">
        <v>0</v>
      </c>
      <c r="E443" s="217">
        <f t="shared" si="20"/>
        <v>0</v>
      </c>
      <c r="F443" s="870">
        <v>0</v>
      </c>
      <c r="G443" s="892">
        <f t="shared" si="21"/>
        <v>0</v>
      </c>
    </row>
    <row r="444" spans="1:7" ht="15.75" x14ac:dyDescent="0.25">
      <c r="A444" s="882"/>
      <c r="B444" s="865"/>
      <c r="C444" s="866">
        <v>0</v>
      </c>
      <c r="D444" s="650">
        <v>0</v>
      </c>
      <c r="E444" s="217">
        <f t="shared" si="20"/>
        <v>0</v>
      </c>
      <c r="F444" s="870">
        <v>0</v>
      </c>
      <c r="G444" s="892">
        <f t="shared" si="21"/>
        <v>0</v>
      </c>
    </row>
    <row r="445" spans="1:7" ht="15.75" x14ac:dyDescent="0.25">
      <c r="A445" s="869"/>
      <c r="B445" s="865"/>
      <c r="C445" s="866">
        <v>0</v>
      </c>
      <c r="D445" s="650">
        <v>0</v>
      </c>
      <c r="E445" s="217">
        <f t="shared" si="20"/>
        <v>0</v>
      </c>
      <c r="F445" s="870">
        <v>0</v>
      </c>
      <c r="G445" s="892">
        <f t="shared" si="21"/>
        <v>0</v>
      </c>
    </row>
    <row r="446" spans="1:7" ht="16.5" thickBot="1" x14ac:dyDescent="0.3">
      <c r="A446" s="871"/>
      <c r="B446" s="872"/>
      <c r="C446" s="873">
        <v>0</v>
      </c>
      <c r="D446" s="221">
        <v>0</v>
      </c>
      <c r="E446" s="221">
        <f>SUM(D446+C446*D446)</f>
        <v>0</v>
      </c>
      <c r="F446" s="874">
        <v>0</v>
      </c>
      <c r="G446" s="893">
        <f t="shared" si="21"/>
        <v>0</v>
      </c>
    </row>
    <row r="447" spans="1:7" ht="16.5" thickTop="1" thickBot="1" x14ac:dyDescent="0.3"/>
    <row r="448" spans="1:7" ht="17.25" thickTop="1" thickBot="1" x14ac:dyDescent="0.3">
      <c r="E448" s="1181" t="s">
        <v>1182</v>
      </c>
      <c r="F448" s="1182"/>
      <c r="G448" s="875">
        <f>SUM(G435:G446)</f>
        <v>3.3216999999999999</v>
      </c>
    </row>
    <row r="449" spans="1:7" ht="17.25" thickTop="1" thickBot="1" x14ac:dyDescent="0.3">
      <c r="A449" s="204"/>
      <c r="B449" s="208"/>
      <c r="C449" s="204"/>
    </row>
    <row r="450" spans="1:7" ht="17.25" thickTop="1" thickBot="1" x14ac:dyDescent="0.3">
      <c r="A450" s="8" t="s">
        <v>1177</v>
      </c>
      <c r="B450" s="862" t="s">
        <v>3</v>
      </c>
      <c r="C450" s="1181" t="s">
        <v>334</v>
      </c>
      <c r="D450" s="1182"/>
      <c r="E450" s="858" t="s">
        <v>7</v>
      </c>
      <c r="F450" s="858" t="s">
        <v>614</v>
      </c>
      <c r="G450" s="20"/>
    </row>
    <row r="451" spans="1:7" ht="16.5" thickTop="1" x14ac:dyDescent="0.25">
      <c r="A451" s="876"/>
      <c r="B451" s="865"/>
      <c r="C451" s="1407">
        <v>0</v>
      </c>
      <c r="D451" s="1408"/>
      <c r="E451" s="897">
        <v>0</v>
      </c>
      <c r="F451" s="877">
        <f>E451*C451</f>
        <v>0</v>
      </c>
    </row>
    <row r="452" spans="1:7" ht="15.75" x14ac:dyDescent="0.25">
      <c r="A452" s="867"/>
      <c r="B452" s="865"/>
      <c r="C452" s="1413">
        <v>0</v>
      </c>
      <c r="D452" s="1414"/>
      <c r="E452" s="899">
        <v>0</v>
      </c>
      <c r="F452" s="878">
        <f>E452*C452</f>
        <v>0</v>
      </c>
    </row>
    <row r="453" spans="1:7" ht="15.75" x14ac:dyDescent="0.25">
      <c r="A453" s="867"/>
      <c r="B453" s="865"/>
      <c r="C453" s="1413">
        <v>0</v>
      </c>
      <c r="D453" s="1414"/>
      <c r="E453" s="899">
        <v>0</v>
      </c>
      <c r="F453" s="878">
        <f>E453*C453</f>
        <v>0</v>
      </c>
      <c r="G453" s="20"/>
    </row>
    <row r="454" spans="1:7" ht="16.5" thickBot="1" x14ac:dyDescent="0.3">
      <c r="A454" s="879"/>
      <c r="B454" s="872"/>
      <c r="C454" s="1391">
        <v>0</v>
      </c>
      <c r="D454" s="1392"/>
      <c r="E454" s="898">
        <v>0</v>
      </c>
      <c r="F454" s="880">
        <f>E454*C454</f>
        <v>0</v>
      </c>
      <c r="G454" s="20"/>
    </row>
    <row r="455" spans="1:7" ht="16.5" thickTop="1" thickBot="1" x14ac:dyDescent="0.3"/>
    <row r="456" spans="1:7" ht="17.25" thickTop="1" thickBot="1" x14ac:dyDescent="0.3">
      <c r="A456" s="204"/>
      <c r="B456" s="208"/>
      <c r="C456" s="204"/>
      <c r="D456" s="204"/>
      <c r="E456" s="1181" t="s">
        <v>1178</v>
      </c>
      <c r="F456" s="1182"/>
      <c r="G456" s="875">
        <f>SUM(F451:F454)</f>
        <v>0</v>
      </c>
    </row>
    <row r="457" spans="1:7" ht="16.5" thickTop="1" thickBot="1" x14ac:dyDescent="0.3">
      <c r="G457" s="20"/>
    </row>
    <row r="458" spans="1:7" ht="17.25" thickTop="1" thickBot="1" x14ac:dyDescent="0.3">
      <c r="A458" s="1181" t="s">
        <v>193</v>
      </c>
      <c r="B458" s="1182"/>
      <c r="C458" s="1181" t="s">
        <v>1179</v>
      </c>
      <c r="D458" s="1182"/>
      <c r="E458" s="858" t="s">
        <v>1180</v>
      </c>
      <c r="F458" s="858" t="s">
        <v>614</v>
      </c>
      <c r="G458" s="20"/>
    </row>
    <row r="459" spans="1:7" ht="16.5" thickTop="1" x14ac:dyDescent="0.25">
      <c r="A459" s="1393" t="s">
        <v>193</v>
      </c>
      <c r="B459" s="1394"/>
      <c r="C459" s="1395">
        <v>7.0000000000000007E-2</v>
      </c>
      <c r="D459" s="1396"/>
      <c r="E459" s="250">
        <v>24.3</v>
      </c>
      <c r="F459" s="885">
        <f>E459*C459</f>
        <v>1.7010000000000003</v>
      </c>
      <c r="G459" s="20"/>
    </row>
    <row r="460" spans="1:7" ht="15.75" x14ac:dyDescent="0.25">
      <c r="A460" s="1409"/>
      <c r="B460" s="1410"/>
      <c r="C460" s="1411">
        <v>0</v>
      </c>
      <c r="D460" s="1412"/>
      <c r="E460" s="868">
        <v>0</v>
      </c>
      <c r="F460" s="887">
        <f>E460*C460</f>
        <v>0</v>
      </c>
      <c r="G460" s="20"/>
    </row>
    <row r="461" spans="1:7" ht="15.75" x14ac:dyDescent="0.25">
      <c r="A461" s="1409"/>
      <c r="B461" s="1410"/>
      <c r="C461" s="1411">
        <v>0</v>
      </c>
      <c r="D461" s="1412"/>
      <c r="E461" s="868">
        <v>0</v>
      </c>
      <c r="F461" s="887">
        <f>E461*C461</f>
        <v>0</v>
      </c>
      <c r="G461" s="20"/>
    </row>
    <row r="462" spans="1:7" ht="16.5" thickBot="1" x14ac:dyDescent="0.3">
      <c r="A462" s="1415"/>
      <c r="B462" s="1416"/>
      <c r="C462" s="1417">
        <v>0</v>
      </c>
      <c r="D462" s="1418"/>
      <c r="E462" s="874">
        <v>0</v>
      </c>
      <c r="F462" s="889">
        <f>E462*C462</f>
        <v>0</v>
      </c>
      <c r="G462" s="20"/>
    </row>
    <row r="463" spans="1:7" ht="17.25" thickTop="1" thickBot="1" x14ac:dyDescent="0.3">
      <c r="A463" s="204"/>
      <c r="B463" s="208"/>
    </row>
    <row r="464" spans="1:7" ht="17.25" thickTop="1" thickBot="1" x14ac:dyDescent="0.3">
      <c r="A464" s="20"/>
      <c r="B464" s="39"/>
      <c r="C464" s="20"/>
      <c r="D464" s="20"/>
      <c r="E464" s="1181" t="s">
        <v>1183</v>
      </c>
      <c r="F464" s="1182"/>
      <c r="G464" s="875">
        <f>SUM(F459:F462)</f>
        <v>1.7010000000000003</v>
      </c>
    </row>
    <row r="465" spans="1:7" ht="16.5" thickTop="1" thickBot="1" x14ac:dyDescent="0.3">
      <c r="A465" s="20"/>
      <c r="B465" s="39"/>
      <c r="C465" s="20"/>
    </row>
    <row r="466" spans="1:7" ht="17.25" thickTop="1" thickBot="1" x14ac:dyDescent="0.3">
      <c r="D466" s="1384" t="s">
        <v>1181</v>
      </c>
      <c r="E466" s="1385"/>
      <c r="F466" s="1386"/>
      <c r="G466" s="881">
        <f>G448+G456+G464</f>
        <v>5.0227000000000004</v>
      </c>
    </row>
    <row r="467" spans="1:7" ht="16.5" thickTop="1" thickBot="1" x14ac:dyDescent="0.3"/>
    <row r="468" spans="1:7" ht="17.25" thickTop="1" thickBot="1" x14ac:dyDescent="0.3">
      <c r="A468" s="1384" t="s">
        <v>1190</v>
      </c>
      <c r="B468" s="1385"/>
      <c r="C468" s="1386"/>
      <c r="D468" s="896">
        <f>D341</f>
        <v>1.42</v>
      </c>
      <c r="G468" s="881">
        <f>G466*D468</f>
        <v>7.1322340000000004</v>
      </c>
    </row>
    <row r="469" spans="1:7" ht="15.75" thickTop="1" x14ac:dyDescent="0.25"/>
    <row r="473" spans="1:7" ht="15.75" thickBot="1" x14ac:dyDescent="0.3"/>
    <row r="474" spans="1:7" ht="17.25" thickTop="1" thickBot="1" x14ac:dyDescent="0.3">
      <c r="A474" s="1397" t="s">
        <v>1175</v>
      </c>
      <c r="B474" s="1399" t="s">
        <v>1236</v>
      </c>
      <c r="C474" s="1399"/>
      <c r="D474" s="1400"/>
      <c r="E474" s="860" t="s">
        <v>57</v>
      </c>
      <c r="F474" s="1403">
        <f ca="1">TODAY()</f>
        <v>46093</v>
      </c>
      <c r="G474" s="1404"/>
    </row>
    <row r="475" spans="1:7" ht="17.25" thickTop="1" thickBot="1" x14ac:dyDescent="0.3">
      <c r="A475" s="1398"/>
      <c r="B475" s="1401"/>
      <c r="C475" s="1401"/>
      <c r="D475" s="1402"/>
      <c r="E475" s="861" t="s">
        <v>1176</v>
      </c>
      <c r="F475" s="1405" t="s">
        <v>290</v>
      </c>
      <c r="G475" s="1406"/>
    </row>
    <row r="476" spans="1:7" ht="17.25" thickTop="1" thickBot="1" x14ac:dyDescent="0.3">
      <c r="A476" s="204"/>
      <c r="B476" s="208"/>
      <c r="C476" s="204"/>
      <c r="D476" s="204"/>
      <c r="E476" s="204"/>
      <c r="F476" s="204"/>
      <c r="G476" s="20"/>
    </row>
    <row r="477" spans="1:7" ht="33" thickTop="1" thickBot="1" x14ac:dyDescent="0.3">
      <c r="A477" s="8" t="s">
        <v>612</v>
      </c>
      <c r="B477" s="862" t="s">
        <v>3</v>
      </c>
      <c r="C477" s="8" t="s">
        <v>622</v>
      </c>
      <c r="D477" s="863" t="s">
        <v>334</v>
      </c>
      <c r="E477" s="864" t="s">
        <v>1107</v>
      </c>
      <c r="F477" s="858" t="s">
        <v>7</v>
      </c>
      <c r="G477" s="858" t="s">
        <v>614</v>
      </c>
    </row>
    <row r="478" spans="1:7" ht="16.5" thickTop="1" x14ac:dyDescent="0.25">
      <c r="A478" s="876" t="s">
        <v>1251</v>
      </c>
      <c r="B478" s="865" t="s">
        <v>290</v>
      </c>
      <c r="C478" s="223">
        <v>0</v>
      </c>
      <c r="D478" s="883">
        <v>1</v>
      </c>
      <c r="E478" s="650">
        <f t="shared" ref="E478:E486" si="22">SUM(D478+C478*D478)</f>
        <v>1</v>
      </c>
      <c r="F478" s="250">
        <v>94.87</v>
      </c>
      <c r="G478" s="877">
        <f>F478*E478</f>
        <v>94.87</v>
      </c>
    </row>
    <row r="479" spans="1:7" ht="31.5" x14ac:dyDescent="0.25">
      <c r="A479" s="869" t="s">
        <v>1260</v>
      </c>
      <c r="B479" s="865" t="s">
        <v>14</v>
      </c>
      <c r="C479" s="866">
        <v>0</v>
      </c>
      <c r="D479" s="217">
        <v>58</v>
      </c>
      <c r="E479" s="217">
        <f t="shared" si="22"/>
        <v>58</v>
      </c>
      <c r="F479" s="870">
        <v>1.24</v>
      </c>
      <c r="G479" s="892">
        <f>F479*E479</f>
        <v>71.92</v>
      </c>
    </row>
    <row r="480" spans="1:7" ht="15.75" x14ac:dyDescent="0.25">
      <c r="A480" s="867"/>
      <c r="B480" s="865"/>
      <c r="C480" s="223">
        <v>0</v>
      </c>
      <c r="D480" s="650">
        <v>0</v>
      </c>
      <c r="E480" s="650">
        <f t="shared" si="22"/>
        <v>0</v>
      </c>
      <c r="F480" s="868">
        <v>0</v>
      </c>
      <c r="G480" s="892">
        <f>F480*E480</f>
        <v>0</v>
      </c>
    </row>
    <row r="481" spans="1:7" ht="15.75" x14ac:dyDescent="0.25">
      <c r="A481" s="867"/>
      <c r="B481" s="865"/>
      <c r="C481" s="223">
        <v>0</v>
      </c>
      <c r="D481" s="650">
        <v>0</v>
      </c>
      <c r="E481" s="650">
        <f t="shared" si="22"/>
        <v>0</v>
      </c>
      <c r="F481" s="868">
        <v>0</v>
      </c>
      <c r="G481" s="892">
        <f>F481*E481</f>
        <v>0</v>
      </c>
    </row>
    <row r="482" spans="1:7" ht="15.75" x14ac:dyDescent="0.25">
      <c r="A482" s="867"/>
      <c r="B482" s="865"/>
      <c r="C482" s="223">
        <v>0</v>
      </c>
      <c r="D482" s="650">
        <v>0</v>
      </c>
      <c r="E482" s="650">
        <f t="shared" si="22"/>
        <v>0</v>
      </c>
      <c r="F482" s="868">
        <v>0</v>
      </c>
      <c r="G482" s="892">
        <f t="shared" ref="G482:G487" si="23">F482*E482</f>
        <v>0</v>
      </c>
    </row>
    <row r="483" spans="1:7" ht="15.75" x14ac:dyDescent="0.25">
      <c r="A483" s="867"/>
      <c r="B483" s="865"/>
      <c r="C483" s="223">
        <v>0</v>
      </c>
      <c r="D483" s="650">
        <v>0</v>
      </c>
      <c r="E483" s="650">
        <f t="shared" si="22"/>
        <v>0</v>
      </c>
      <c r="F483" s="868">
        <v>0</v>
      </c>
      <c r="G483" s="892">
        <f t="shared" si="23"/>
        <v>0</v>
      </c>
    </row>
    <row r="484" spans="1:7" ht="15.75" x14ac:dyDescent="0.25">
      <c r="A484" s="869"/>
      <c r="B484" s="865"/>
      <c r="C484" s="866">
        <v>0</v>
      </c>
      <c r="D484" s="650">
        <v>0</v>
      </c>
      <c r="E484" s="217">
        <f t="shared" si="22"/>
        <v>0</v>
      </c>
      <c r="F484" s="870">
        <v>0</v>
      </c>
      <c r="G484" s="892">
        <f t="shared" si="23"/>
        <v>0</v>
      </c>
    </row>
    <row r="485" spans="1:7" ht="15.75" x14ac:dyDescent="0.25">
      <c r="A485" s="882"/>
      <c r="B485" s="865"/>
      <c r="C485" s="866">
        <v>0</v>
      </c>
      <c r="D485" s="650">
        <v>0</v>
      </c>
      <c r="E485" s="217">
        <f t="shared" si="22"/>
        <v>0</v>
      </c>
      <c r="F485" s="870">
        <v>0</v>
      </c>
      <c r="G485" s="892">
        <f t="shared" si="23"/>
        <v>0</v>
      </c>
    </row>
    <row r="486" spans="1:7" ht="15.75" x14ac:dyDescent="0.25">
      <c r="A486" s="869"/>
      <c r="B486" s="865"/>
      <c r="C486" s="866">
        <v>0</v>
      </c>
      <c r="D486" s="650">
        <v>0</v>
      </c>
      <c r="E486" s="217">
        <f t="shared" si="22"/>
        <v>0</v>
      </c>
      <c r="F486" s="870">
        <v>0</v>
      </c>
      <c r="G486" s="892">
        <f t="shared" si="23"/>
        <v>0</v>
      </c>
    </row>
    <row r="487" spans="1:7" ht="16.5" thickBot="1" x14ac:dyDescent="0.3">
      <c r="A487" s="871"/>
      <c r="B487" s="872"/>
      <c r="C487" s="873">
        <v>0</v>
      </c>
      <c r="D487" s="221">
        <v>0</v>
      </c>
      <c r="E487" s="221">
        <f>SUM(D487+C487*D487)</f>
        <v>0</v>
      </c>
      <c r="F487" s="874">
        <v>0</v>
      </c>
      <c r="G487" s="893">
        <f t="shared" si="23"/>
        <v>0</v>
      </c>
    </row>
    <row r="488" spans="1:7" ht="16.5" thickTop="1" thickBot="1" x14ac:dyDescent="0.3"/>
    <row r="489" spans="1:7" ht="17.25" thickTop="1" thickBot="1" x14ac:dyDescent="0.3">
      <c r="E489" s="1181" t="s">
        <v>1182</v>
      </c>
      <c r="F489" s="1182"/>
      <c r="G489" s="875">
        <f>SUM(G478:G487)</f>
        <v>166.79000000000002</v>
      </c>
    </row>
    <row r="490" spans="1:7" ht="17.25" thickTop="1" thickBot="1" x14ac:dyDescent="0.3">
      <c r="A490" s="204"/>
      <c r="B490" s="208"/>
      <c r="C490" s="204"/>
    </row>
    <row r="491" spans="1:7" ht="17.25" thickTop="1" thickBot="1" x14ac:dyDescent="0.3">
      <c r="A491" s="8" t="s">
        <v>1177</v>
      </c>
      <c r="B491" s="862" t="s">
        <v>3</v>
      </c>
      <c r="C491" s="1181" t="s">
        <v>334</v>
      </c>
      <c r="D491" s="1182"/>
      <c r="E491" s="858" t="s">
        <v>7</v>
      </c>
      <c r="F491" s="858" t="s">
        <v>614</v>
      </c>
      <c r="G491" s="20"/>
    </row>
    <row r="492" spans="1:7" ht="16.5" thickTop="1" x14ac:dyDescent="0.25">
      <c r="A492" s="876"/>
      <c r="B492" s="865"/>
      <c r="C492" s="1407">
        <v>0</v>
      </c>
      <c r="D492" s="1408"/>
      <c r="E492" s="897">
        <v>0</v>
      </c>
      <c r="F492" s="877">
        <f>E492*C492</f>
        <v>0</v>
      </c>
    </row>
    <row r="493" spans="1:7" ht="15.75" x14ac:dyDescent="0.25">
      <c r="A493" s="867"/>
      <c r="B493" s="865"/>
      <c r="C493" s="1413">
        <v>0</v>
      </c>
      <c r="D493" s="1414"/>
      <c r="E493" s="899">
        <v>0</v>
      </c>
      <c r="F493" s="878">
        <f>E493*C493</f>
        <v>0</v>
      </c>
    </row>
    <row r="494" spans="1:7" ht="15.75" x14ac:dyDescent="0.25">
      <c r="A494" s="867"/>
      <c r="B494" s="865"/>
      <c r="C494" s="1413">
        <v>0</v>
      </c>
      <c r="D494" s="1414"/>
      <c r="E494" s="899">
        <v>0</v>
      </c>
      <c r="F494" s="878">
        <f>E494*C494</f>
        <v>0</v>
      </c>
      <c r="G494" s="20"/>
    </row>
    <row r="495" spans="1:7" ht="16.5" thickBot="1" x14ac:dyDescent="0.3">
      <c r="A495" s="879"/>
      <c r="B495" s="872"/>
      <c r="C495" s="1391">
        <v>0</v>
      </c>
      <c r="D495" s="1392"/>
      <c r="E495" s="898">
        <v>0</v>
      </c>
      <c r="F495" s="880">
        <f>E495*C495</f>
        <v>0</v>
      </c>
      <c r="G495" s="20"/>
    </row>
    <row r="496" spans="1:7" ht="16.5" thickTop="1" thickBot="1" x14ac:dyDescent="0.3"/>
    <row r="497" spans="1:7" ht="17.25" thickTop="1" thickBot="1" x14ac:dyDescent="0.3">
      <c r="A497" s="204"/>
      <c r="B497" s="208"/>
      <c r="C497" s="204"/>
      <c r="D497" s="204"/>
      <c r="E497" s="1181" t="s">
        <v>1178</v>
      </c>
      <c r="F497" s="1182"/>
      <c r="G497" s="875">
        <f>SUM(F492:F495)</f>
        <v>0</v>
      </c>
    </row>
    <row r="498" spans="1:7" ht="16.5" thickTop="1" thickBot="1" x14ac:dyDescent="0.3">
      <c r="G498" s="20"/>
    </row>
    <row r="499" spans="1:7" ht="17.25" thickTop="1" thickBot="1" x14ac:dyDescent="0.3">
      <c r="A499" s="1181" t="s">
        <v>193</v>
      </c>
      <c r="B499" s="1182"/>
      <c r="C499" s="1181" t="s">
        <v>1179</v>
      </c>
      <c r="D499" s="1182"/>
      <c r="E499" s="858" t="s">
        <v>1180</v>
      </c>
      <c r="F499" s="858" t="s">
        <v>614</v>
      </c>
      <c r="G499" s="20"/>
    </row>
    <row r="500" spans="1:7" ht="35.25" customHeight="1" thickTop="1" x14ac:dyDescent="0.25">
      <c r="A500" s="1424" t="s">
        <v>1261</v>
      </c>
      <c r="B500" s="1425"/>
      <c r="C500" s="1426">
        <v>2.38</v>
      </c>
      <c r="D500" s="1427"/>
      <c r="E500" s="912">
        <v>24.3</v>
      </c>
      <c r="F500" s="924">
        <f>E500*C500</f>
        <v>57.833999999999996</v>
      </c>
      <c r="G500" s="20"/>
    </row>
    <row r="501" spans="1:7" ht="15.75" x14ac:dyDescent="0.25">
      <c r="A501" s="1409" t="s">
        <v>1262</v>
      </c>
      <c r="B501" s="1410"/>
      <c r="C501" s="1411">
        <v>0.03</v>
      </c>
      <c r="D501" s="1412"/>
      <c r="E501" s="868">
        <v>24.3</v>
      </c>
      <c r="F501" s="887">
        <f>E501*C501</f>
        <v>0.72899999999999998</v>
      </c>
      <c r="G501" s="20"/>
    </row>
    <row r="502" spans="1:7" ht="15.75" x14ac:dyDescent="0.25">
      <c r="A502" s="1409"/>
      <c r="B502" s="1410"/>
      <c r="C502" s="1411">
        <v>0</v>
      </c>
      <c r="D502" s="1412"/>
      <c r="E502" s="868">
        <v>0</v>
      </c>
      <c r="F502" s="887">
        <f>E502*C502</f>
        <v>0</v>
      </c>
      <c r="G502" s="20"/>
    </row>
    <row r="503" spans="1:7" ht="16.5" thickBot="1" x14ac:dyDescent="0.3">
      <c r="A503" s="1415"/>
      <c r="B503" s="1416"/>
      <c r="C503" s="1417">
        <v>0</v>
      </c>
      <c r="D503" s="1418"/>
      <c r="E503" s="874">
        <v>0</v>
      </c>
      <c r="F503" s="889">
        <f>E503*C503</f>
        <v>0</v>
      </c>
      <c r="G503" s="20"/>
    </row>
    <row r="504" spans="1:7" ht="17.25" thickTop="1" thickBot="1" x14ac:dyDescent="0.3">
      <c r="A504" s="204"/>
      <c r="B504" s="208"/>
    </row>
    <row r="505" spans="1:7" ht="17.25" thickTop="1" thickBot="1" x14ac:dyDescent="0.3">
      <c r="A505" s="20"/>
      <c r="B505" s="39"/>
      <c r="C505" s="20"/>
      <c r="D505" s="20"/>
      <c r="E505" s="1181" t="s">
        <v>1183</v>
      </c>
      <c r="F505" s="1182"/>
      <c r="G505" s="875">
        <f>SUM(F500:F503)</f>
        <v>58.562999999999995</v>
      </c>
    </row>
    <row r="506" spans="1:7" ht="16.5" thickTop="1" thickBot="1" x14ac:dyDescent="0.3">
      <c r="A506" s="20"/>
      <c r="B506" s="39"/>
      <c r="C506" s="20"/>
    </row>
    <row r="507" spans="1:7" ht="17.25" thickTop="1" thickBot="1" x14ac:dyDescent="0.3">
      <c r="D507" s="1384" t="s">
        <v>1181</v>
      </c>
      <c r="E507" s="1385"/>
      <c r="F507" s="1386"/>
      <c r="G507" s="881">
        <f>G489+G497+G505</f>
        <v>225.35300000000001</v>
      </c>
    </row>
    <row r="508" spans="1:7" ht="16.5" thickTop="1" thickBot="1" x14ac:dyDescent="0.3"/>
    <row r="509" spans="1:7" ht="17.25" thickTop="1" thickBot="1" x14ac:dyDescent="0.3">
      <c r="A509" s="1384" t="s">
        <v>1190</v>
      </c>
      <c r="B509" s="1385"/>
      <c r="C509" s="1386"/>
      <c r="D509" s="896">
        <f>D341</f>
        <v>1.42</v>
      </c>
      <c r="G509" s="881">
        <f>G507*D509</f>
        <v>320.00126</v>
      </c>
    </row>
    <row r="510" spans="1:7" ht="15.75" thickTop="1" x14ac:dyDescent="0.25"/>
    <row r="513" spans="1:7" ht="15.75" thickBot="1" x14ac:dyDescent="0.3"/>
    <row r="514" spans="1:7" ht="17.25" thickTop="1" thickBot="1" x14ac:dyDescent="0.3">
      <c r="A514" s="1397" t="s">
        <v>1175</v>
      </c>
      <c r="B514" s="1399" t="s">
        <v>1237</v>
      </c>
      <c r="C514" s="1399"/>
      <c r="D514" s="1400"/>
      <c r="E514" s="860" t="s">
        <v>57</v>
      </c>
      <c r="F514" s="1403">
        <f ca="1">TODAY()</f>
        <v>46093</v>
      </c>
      <c r="G514" s="1404"/>
    </row>
    <row r="515" spans="1:7" ht="17.25" thickTop="1" thickBot="1" x14ac:dyDescent="0.3">
      <c r="A515" s="1398"/>
      <c r="B515" s="1401"/>
      <c r="C515" s="1401"/>
      <c r="D515" s="1402"/>
      <c r="E515" s="861" t="s">
        <v>1176</v>
      </c>
      <c r="F515" s="1405" t="s">
        <v>12</v>
      </c>
      <c r="G515" s="1406"/>
    </row>
    <row r="516" spans="1:7" ht="17.25" thickTop="1" thickBot="1" x14ac:dyDescent="0.3">
      <c r="A516" s="204"/>
      <c r="B516" s="208"/>
      <c r="C516" s="204"/>
      <c r="D516" s="204"/>
      <c r="E516" s="204"/>
      <c r="F516" s="204"/>
      <c r="G516" s="20"/>
    </row>
    <row r="517" spans="1:7" ht="33" thickTop="1" thickBot="1" x14ac:dyDescent="0.3">
      <c r="A517" s="8" t="s">
        <v>612</v>
      </c>
      <c r="B517" s="862" t="s">
        <v>3</v>
      </c>
      <c r="C517" s="8" t="s">
        <v>622</v>
      </c>
      <c r="D517" s="863" t="s">
        <v>334</v>
      </c>
      <c r="E517" s="864" t="s">
        <v>1107</v>
      </c>
      <c r="F517" s="858" t="s">
        <v>7</v>
      </c>
      <c r="G517" s="858" t="s">
        <v>614</v>
      </c>
    </row>
    <row r="518" spans="1:7" ht="16.5" thickTop="1" x14ac:dyDescent="0.25">
      <c r="A518" s="876" t="s">
        <v>1263</v>
      </c>
      <c r="B518" s="865" t="s">
        <v>290</v>
      </c>
      <c r="C518" s="223">
        <v>0</v>
      </c>
      <c r="D518" s="883">
        <v>1</v>
      </c>
      <c r="E518" s="650">
        <f t="shared" ref="E518:E528" si="24">SUM(D518+C518*D518)</f>
        <v>1</v>
      </c>
      <c r="F518" s="250">
        <v>77.930000000000007</v>
      </c>
      <c r="G518" s="877">
        <f>F518*E518</f>
        <v>77.930000000000007</v>
      </c>
    </row>
    <row r="519" spans="1:7" ht="15.75" x14ac:dyDescent="0.25">
      <c r="A519" s="867"/>
      <c r="B519" s="865"/>
      <c r="C519" s="223">
        <v>0</v>
      </c>
      <c r="D519" s="650">
        <v>0</v>
      </c>
      <c r="E519" s="650">
        <f t="shared" si="24"/>
        <v>0</v>
      </c>
      <c r="F519" s="868">
        <v>0</v>
      </c>
      <c r="G519" s="892">
        <f>F519*E519</f>
        <v>0</v>
      </c>
    </row>
    <row r="520" spans="1:7" ht="15.75" x14ac:dyDescent="0.25">
      <c r="A520" s="867"/>
      <c r="B520" s="865"/>
      <c r="C520" s="223">
        <v>0</v>
      </c>
      <c r="D520" s="650">
        <v>0</v>
      </c>
      <c r="E520" s="650">
        <f t="shared" si="24"/>
        <v>0</v>
      </c>
      <c r="F520" s="868">
        <v>0</v>
      </c>
      <c r="G520" s="892">
        <f>F520*E520</f>
        <v>0</v>
      </c>
    </row>
    <row r="521" spans="1:7" ht="15.75" x14ac:dyDescent="0.25">
      <c r="A521" s="867"/>
      <c r="B521" s="865"/>
      <c r="C521" s="223">
        <v>0</v>
      </c>
      <c r="D521" s="650">
        <v>0</v>
      </c>
      <c r="E521" s="650">
        <f t="shared" si="24"/>
        <v>0</v>
      </c>
      <c r="F521" s="868">
        <v>0</v>
      </c>
      <c r="G521" s="892">
        <f>F521*E521</f>
        <v>0</v>
      </c>
    </row>
    <row r="522" spans="1:7" ht="15.75" x14ac:dyDescent="0.25">
      <c r="A522" s="867"/>
      <c r="B522" s="865"/>
      <c r="C522" s="223">
        <v>0</v>
      </c>
      <c r="D522" s="650">
        <v>0</v>
      </c>
      <c r="E522" s="650">
        <f t="shared" si="24"/>
        <v>0</v>
      </c>
      <c r="F522" s="868">
        <v>0</v>
      </c>
      <c r="G522" s="892">
        <f t="shared" ref="G522:G529" si="25">F522*E522</f>
        <v>0</v>
      </c>
    </row>
    <row r="523" spans="1:7" ht="15.75" x14ac:dyDescent="0.25">
      <c r="A523" s="867"/>
      <c r="B523" s="865"/>
      <c r="C523" s="223">
        <v>0</v>
      </c>
      <c r="D523" s="650">
        <v>0</v>
      </c>
      <c r="E523" s="650">
        <f t="shared" si="24"/>
        <v>0</v>
      </c>
      <c r="F523" s="868">
        <v>0</v>
      </c>
      <c r="G523" s="892">
        <f t="shared" si="25"/>
        <v>0</v>
      </c>
    </row>
    <row r="524" spans="1:7" ht="15.75" x14ac:dyDescent="0.25">
      <c r="A524" s="869"/>
      <c r="B524" s="865"/>
      <c r="C524" s="866">
        <v>0</v>
      </c>
      <c r="D524" s="650">
        <v>0</v>
      </c>
      <c r="E524" s="217">
        <f t="shared" si="24"/>
        <v>0</v>
      </c>
      <c r="F524" s="870">
        <v>0</v>
      </c>
      <c r="G524" s="892">
        <f t="shared" si="25"/>
        <v>0</v>
      </c>
    </row>
    <row r="525" spans="1:7" ht="15.75" x14ac:dyDescent="0.25">
      <c r="A525" s="867"/>
      <c r="B525" s="865"/>
      <c r="C525" s="223">
        <v>0</v>
      </c>
      <c r="D525" s="650">
        <v>0</v>
      </c>
      <c r="E525" s="650">
        <f t="shared" si="24"/>
        <v>0</v>
      </c>
      <c r="F525" s="868">
        <v>0</v>
      </c>
      <c r="G525" s="892">
        <f t="shared" si="25"/>
        <v>0</v>
      </c>
    </row>
    <row r="526" spans="1:7" ht="15.75" x14ac:dyDescent="0.25">
      <c r="A526" s="869"/>
      <c r="B526" s="865"/>
      <c r="C526" s="866">
        <v>0</v>
      </c>
      <c r="D526" s="650">
        <v>0</v>
      </c>
      <c r="E526" s="217">
        <f t="shared" si="24"/>
        <v>0</v>
      </c>
      <c r="F526" s="870">
        <v>0</v>
      </c>
      <c r="G526" s="892">
        <f t="shared" si="25"/>
        <v>0</v>
      </c>
    </row>
    <row r="527" spans="1:7" ht="15.75" x14ac:dyDescent="0.25">
      <c r="A527" s="882"/>
      <c r="B527" s="865"/>
      <c r="C527" s="866">
        <v>0</v>
      </c>
      <c r="D527" s="650">
        <v>0</v>
      </c>
      <c r="E527" s="217">
        <f t="shared" si="24"/>
        <v>0</v>
      </c>
      <c r="F527" s="870">
        <v>0</v>
      </c>
      <c r="G527" s="892">
        <f t="shared" si="25"/>
        <v>0</v>
      </c>
    </row>
    <row r="528" spans="1:7" ht="15.75" x14ac:dyDescent="0.25">
      <c r="A528" s="869"/>
      <c r="B528" s="865"/>
      <c r="C528" s="866">
        <v>0</v>
      </c>
      <c r="D528" s="650">
        <v>0</v>
      </c>
      <c r="E528" s="217">
        <f t="shared" si="24"/>
        <v>0</v>
      </c>
      <c r="F528" s="870">
        <v>0</v>
      </c>
      <c r="G528" s="892">
        <f t="shared" si="25"/>
        <v>0</v>
      </c>
    </row>
    <row r="529" spans="1:7" ht="16.5" thickBot="1" x14ac:dyDescent="0.3">
      <c r="A529" s="871"/>
      <c r="B529" s="872"/>
      <c r="C529" s="873">
        <v>0</v>
      </c>
      <c r="D529" s="221">
        <v>0</v>
      </c>
      <c r="E529" s="221">
        <f>SUM(D529+C529*D529)</f>
        <v>0</v>
      </c>
      <c r="F529" s="874">
        <v>0</v>
      </c>
      <c r="G529" s="893">
        <f t="shared" si="25"/>
        <v>0</v>
      </c>
    </row>
    <row r="530" spans="1:7" ht="16.5" thickTop="1" thickBot="1" x14ac:dyDescent="0.3"/>
    <row r="531" spans="1:7" ht="17.25" thickTop="1" thickBot="1" x14ac:dyDescent="0.3">
      <c r="E531" s="1181" t="s">
        <v>1182</v>
      </c>
      <c r="F531" s="1182"/>
      <c r="G531" s="875">
        <f>SUM(G518:G529)</f>
        <v>77.930000000000007</v>
      </c>
    </row>
    <row r="532" spans="1:7" ht="17.25" thickTop="1" thickBot="1" x14ac:dyDescent="0.3">
      <c r="A532" s="204"/>
      <c r="B532" s="208"/>
      <c r="C532" s="204"/>
    </row>
    <row r="533" spans="1:7" ht="17.25" thickTop="1" thickBot="1" x14ac:dyDescent="0.3">
      <c r="A533" s="8" t="s">
        <v>1177</v>
      </c>
      <c r="B533" s="862" t="s">
        <v>3</v>
      </c>
      <c r="C533" s="1181" t="s">
        <v>334</v>
      </c>
      <c r="D533" s="1182"/>
      <c r="E533" s="858" t="s">
        <v>7</v>
      </c>
      <c r="F533" s="858" t="s">
        <v>614</v>
      </c>
      <c r="G533" s="20"/>
    </row>
    <row r="534" spans="1:7" ht="16.5" thickTop="1" x14ac:dyDescent="0.25">
      <c r="A534" s="876"/>
      <c r="B534" s="865"/>
      <c r="C534" s="1407">
        <v>0</v>
      </c>
      <c r="D534" s="1408"/>
      <c r="E534" s="897">
        <v>0</v>
      </c>
      <c r="F534" s="877">
        <f>E534*C534</f>
        <v>0</v>
      </c>
    </row>
    <row r="535" spans="1:7" ht="15.75" x14ac:dyDescent="0.25">
      <c r="A535" s="867"/>
      <c r="B535" s="865"/>
      <c r="C535" s="1413">
        <v>0</v>
      </c>
      <c r="D535" s="1414"/>
      <c r="E535" s="899">
        <v>0</v>
      </c>
      <c r="F535" s="878">
        <f>E535*C535</f>
        <v>0</v>
      </c>
    </row>
    <row r="536" spans="1:7" ht="15.75" x14ac:dyDescent="0.25">
      <c r="A536" s="867"/>
      <c r="B536" s="865"/>
      <c r="C536" s="1413">
        <v>0</v>
      </c>
      <c r="D536" s="1414"/>
      <c r="E536" s="899">
        <v>0</v>
      </c>
      <c r="F536" s="878">
        <f>E536*C536</f>
        <v>0</v>
      </c>
      <c r="G536" s="20"/>
    </row>
    <row r="537" spans="1:7" ht="16.5" thickBot="1" x14ac:dyDescent="0.3">
      <c r="A537" s="879"/>
      <c r="B537" s="872"/>
      <c r="C537" s="1391">
        <v>0</v>
      </c>
      <c r="D537" s="1392"/>
      <c r="E537" s="898">
        <v>0</v>
      </c>
      <c r="F537" s="880">
        <f>E537*C537</f>
        <v>0</v>
      </c>
      <c r="G537" s="20"/>
    </row>
    <row r="538" spans="1:7" ht="16.5" thickTop="1" thickBot="1" x14ac:dyDescent="0.3"/>
    <row r="539" spans="1:7" ht="17.25" thickTop="1" thickBot="1" x14ac:dyDescent="0.3">
      <c r="A539" s="204"/>
      <c r="B539" s="208"/>
      <c r="C539" s="204"/>
      <c r="D539" s="204"/>
      <c r="E539" s="1181" t="s">
        <v>1178</v>
      </c>
      <c r="F539" s="1182"/>
      <c r="G539" s="875">
        <f>SUM(F534:F537)</f>
        <v>0</v>
      </c>
    </row>
    <row r="540" spans="1:7" ht="16.5" thickTop="1" thickBot="1" x14ac:dyDescent="0.3">
      <c r="G540" s="20"/>
    </row>
    <row r="541" spans="1:7" ht="17.25" thickTop="1" thickBot="1" x14ac:dyDescent="0.3">
      <c r="A541" s="1181" t="s">
        <v>193</v>
      </c>
      <c r="B541" s="1182"/>
      <c r="C541" s="1181" t="s">
        <v>1179</v>
      </c>
      <c r="D541" s="1182"/>
      <c r="E541" s="858" t="s">
        <v>1180</v>
      </c>
      <c r="F541" s="858" t="s">
        <v>614</v>
      </c>
      <c r="G541" s="20"/>
    </row>
    <row r="542" spans="1:7" ht="16.5" thickTop="1" x14ac:dyDescent="0.25">
      <c r="A542" s="1393" t="s">
        <v>1264</v>
      </c>
      <c r="B542" s="1394"/>
      <c r="C542" s="1395">
        <v>0.55000000000000004</v>
      </c>
      <c r="D542" s="1396"/>
      <c r="E542" s="250">
        <v>24.3</v>
      </c>
      <c r="F542" s="885">
        <f>E542*C542</f>
        <v>13.365000000000002</v>
      </c>
      <c r="G542" s="20"/>
    </row>
    <row r="543" spans="1:7" ht="15.75" x14ac:dyDescent="0.25">
      <c r="A543" s="1409"/>
      <c r="B543" s="1410"/>
      <c r="C543" s="1411">
        <v>0</v>
      </c>
      <c r="D543" s="1412"/>
      <c r="E543" s="868">
        <v>0</v>
      </c>
      <c r="F543" s="887">
        <f>E543*C543</f>
        <v>0</v>
      </c>
      <c r="G543" s="20"/>
    </row>
    <row r="544" spans="1:7" ht="15.75" x14ac:dyDescent="0.25">
      <c r="A544" s="1409"/>
      <c r="B544" s="1410"/>
      <c r="C544" s="1411">
        <v>0</v>
      </c>
      <c r="D544" s="1412"/>
      <c r="E544" s="868">
        <v>0</v>
      </c>
      <c r="F544" s="887">
        <f>E544*C544</f>
        <v>0</v>
      </c>
      <c r="G544" s="20"/>
    </row>
    <row r="545" spans="1:7" ht="16.5" thickBot="1" x14ac:dyDescent="0.3">
      <c r="A545" s="1415"/>
      <c r="B545" s="1416"/>
      <c r="C545" s="1417">
        <v>0</v>
      </c>
      <c r="D545" s="1418"/>
      <c r="E545" s="874">
        <v>0</v>
      </c>
      <c r="F545" s="889">
        <f>E545*C545</f>
        <v>0</v>
      </c>
      <c r="G545" s="20"/>
    </row>
    <row r="546" spans="1:7" ht="17.25" thickTop="1" thickBot="1" x14ac:dyDescent="0.3">
      <c r="A546" s="204"/>
      <c r="B546" s="208"/>
    </row>
    <row r="547" spans="1:7" ht="17.25" thickTop="1" thickBot="1" x14ac:dyDescent="0.3">
      <c r="A547" s="20"/>
      <c r="B547" s="39"/>
      <c r="C547" s="20"/>
      <c r="D547" s="20"/>
      <c r="E547" s="1181" t="s">
        <v>1183</v>
      </c>
      <c r="F547" s="1182"/>
      <c r="G547" s="875">
        <f>SUM(F542:F545)</f>
        <v>13.365000000000002</v>
      </c>
    </row>
    <row r="548" spans="1:7" ht="16.5" thickTop="1" thickBot="1" x14ac:dyDescent="0.3">
      <c r="A548" s="20"/>
      <c r="B548" s="39"/>
      <c r="C548" s="20"/>
    </row>
    <row r="549" spans="1:7" ht="17.25" thickTop="1" thickBot="1" x14ac:dyDescent="0.3">
      <c r="D549" s="1384" t="s">
        <v>1181</v>
      </c>
      <c r="E549" s="1385"/>
      <c r="F549" s="1386"/>
      <c r="G549" s="881">
        <f>G531+G539+G547</f>
        <v>91.295000000000016</v>
      </c>
    </row>
    <row r="550" spans="1:7" ht="16.5" thickTop="1" thickBot="1" x14ac:dyDescent="0.3"/>
    <row r="551" spans="1:7" ht="17.25" thickTop="1" thickBot="1" x14ac:dyDescent="0.3">
      <c r="A551" s="1384" t="s">
        <v>1190</v>
      </c>
      <c r="B551" s="1385"/>
      <c r="C551" s="1386"/>
      <c r="D551" s="896">
        <f>D341</f>
        <v>1.42</v>
      </c>
      <c r="G551" s="881">
        <f>G549*D551</f>
        <v>129.63890000000001</v>
      </c>
    </row>
    <row r="552" spans="1:7" ht="15.75" thickTop="1" x14ac:dyDescent="0.25"/>
    <row r="556" spans="1:7" ht="15.75" thickBot="1" x14ac:dyDescent="0.3"/>
    <row r="557" spans="1:7" ht="17.25" thickTop="1" thickBot="1" x14ac:dyDescent="0.3">
      <c r="A557" s="1397" t="s">
        <v>1175</v>
      </c>
      <c r="B557" s="1399" t="s">
        <v>1238</v>
      </c>
      <c r="C557" s="1399"/>
      <c r="D557" s="1400"/>
      <c r="E557" s="860" t="s">
        <v>57</v>
      </c>
      <c r="F557" s="1403">
        <f ca="1">TODAY()</f>
        <v>46093</v>
      </c>
      <c r="G557" s="1404"/>
    </row>
    <row r="558" spans="1:7" ht="17.25" thickTop="1" thickBot="1" x14ac:dyDescent="0.3">
      <c r="A558" s="1398"/>
      <c r="B558" s="1401"/>
      <c r="C558" s="1401"/>
      <c r="D558" s="1402"/>
      <c r="E558" s="861" t="s">
        <v>1176</v>
      </c>
      <c r="F558" s="1405" t="s">
        <v>12</v>
      </c>
      <c r="G558" s="1406"/>
    </row>
    <row r="559" spans="1:7" ht="17.25" thickTop="1" thickBot="1" x14ac:dyDescent="0.3">
      <c r="A559" s="204"/>
      <c r="B559" s="208"/>
      <c r="C559" s="204"/>
      <c r="D559" s="204"/>
      <c r="E559" s="204"/>
      <c r="F559" s="204"/>
      <c r="G559" s="20"/>
    </row>
    <row r="560" spans="1:7" ht="33" thickTop="1" thickBot="1" x14ac:dyDescent="0.3">
      <c r="A560" s="8" t="s">
        <v>612</v>
      </c>
      <c r="B560" s="862" t="s">
        <v>3</v>
      </c>
      <c r="C560" s="8" t="s">
        <v>622</v>
      </c>
      <c r="D560" s="863" t="s">
        <v>334</v>
      </c>
      <c r="E560" s="864" t="s">
        <v>1107</v>
      </c>
      <c r="F560" s="858" t="s">
        <v>7</v>
      </c>
      <c r="G560" s="858" t="s">
        <v>614</v>
      </c>
    </row>
    <row r="561" spans="1:7" ht="16.5" thickTop="1" x14ac:dyDescent="0.25">
      <c r="A561" s="876" t="s">
        <v>1265</v>
      </c>
      <c r="B561" s="865" t="s">
        <v>290</v>
      </c>
      <c r="C561" s="223">
        <v>0</v>
      </c>
      <c r="D561" s="883">
        <v>1</v>
      </c>
      <c r="E561" s="650">
        <f t="shared" ref="E561:E570" si="26">SUM(D561+C561*D561)</f>
        <v>1</v>
      </c>
      <c r="F561" s="250">
        <v>93.57</v>
      </c>
      <c r="G561" s="877">
        <f>F561*E561</f>
        <v>93.57</v>
      </c>
    </row>
    <row r="562" spans="1:7" ht="15.75" x14ac:dyDescent="0.25">
      <c r="A562" s="867" t="s">
        <v>1266</v>
      </c>
      <c r="B562" s="865" t="s">
        <v>14</v>
      </c>
      <c r="C562" s="223">
        <v>0</v>
      </c>
      <c r="D562" s="650">
        <v>50</v>
      </c>
      <c r="E562" s="650">
        <f t="shared" si="26"/>
        <v>50</v>
      </c>
      <c r="F562" s="868">
        <v>1.24</v>
      </c>
      <c r="G562" s="892">
        <f>F562*E562</f>
        <v>62</v>
      </c>
    </row>
    <row r="563" spans="1:7" ht="31.5" x14ac:dyDescent="0.25">
      <c r="A563" s="869" t="s">
        <v>1267</v>
      </c>
      <c r="B563" s="865" t="s">
        <v>12</v>
      </c>
      <c r="C563" s="866">
        <v>0</v>
      </c>
      <c r="D563" s="217">
        <v>3.42</v>
      </c>
      <c r="E563" s="217">
        <f t="shared" si="26"/>
        <v>3.42</v>
      </c>
      <c r="F563" s="870">
        <v>2.72</v>
      </c>
      <c r="G563" s="892">
        <f>F563*E563</f>
        <v>9.3024000000000004</v>
      </c>
    </row>
    <row r="564" spans="1:7" ht="15.75" x14ac:dyDescent="0.25">
      <c r="A564" s="867"/>
      <c r="B564" s="865"/>
      <c r="C564" s="223">
        <v>0</v>
      </c>
      <c r="D564" s="650">
        <v>0</v>
      </c>
      <c r="E564" s="650">
        <f t="shared" si="26"/>
        <v>0</v>
      </c>
      <c r="F564" s="868">
        <v>0</v>
      </c>
      <c r="G564" s="892">
        <f>F564*E564</f>
        <v>0</v>
      </c>
    </row>
    <row r="565" spans="1:7" ht="15.75" x14ac:dyDescent="0.25">
      <c r="A565" s="867"/>
      <c r="B565" s="865"/>
      <c r="C565" s="223">
        <v>0</v>
      </c>
      <c r="D565" s="650">
        <v>0</v>
      </c>
      <c r="E565" s="650">
        <f t="shared" si="26"/>
        <v>0</v>
      </c>
      <c r="F565" s="868">
        <v>0</v>
      </c>
      <c r="G565" s="892">
        <f t="shared" ref="G565:G571" si="27">F565*E565</f>
        <v>0</v>
      </c>
    </row>
    <row r="566" spans="1:7" ht="15.75" x14ac:dyDescent="0.25">
      <c r="A566" s="867"/>
      <c r="B566" s="865"/>
      <c r="C566" s="223">
        <v>0</v>
      </c>
      <c r="D566" s="650">
        <v>0</v>
      </c>
      <c r="E566" s="650">
        <f t="shared" si="26"/>
        <v>0</v>
      </c>
      <c r="F566" s="868">
        <v>0</v>
      </c>
      <c r="G566" s="892">
        <f t="shared" si="27"/>
        <v>0</v>
      </c>
    </row>
    <row r="567" spans="1:7" ht="15.75" x14ac:dyDescent="0.25">
      <c r="A567" s="869"/>
      <c r="B567" s="865"/>
      <c r="C567" s="866">
        <v>0</v>
      </c>
      <c r="D567" s="650">
        <v>0</v>
      </c>
      <c r="E567" s="217">
        <f t="shared" si="26"/>
        <v>0</v>
      </c>
      <c r="F567" s="870">
        <v>0</v>
      </c>
      <c r="G567" s="892">
        <f t="shared" si="27"/>
        <v>0</v>
      </c>
    </row>
    <row r="568" spans="1:7" ht="15.75" x14ac:dyDescent="0.25">
      <c r="A568" s="869"/>
      <c r="B568" s="865"/>
      <c r="C568" s="866">
        <v>0</v>
      </c>
      <c r="D568" s="650">
        <v>0</v>
      </c>
      <c r="E568" s="217">
        <f t="shared" si="26"/>
        <v>0</v>
      </c>
      <c r="F568" s="870">
        <v>0</v>
      </c>
      <c r="G568" s="892">
        <f t="shared" si="27"/>
        <v>0</v>
      </c>
    </row>
    <row r="569" spans="1:7" ht="15.75" x14ac:dyDescent="0.25">
      <c r="A569" s="882"/>
      <c r="B569" s="865"/>
      <c r="C569" s="866">
        <v>0</v>
      </c>
      <c r="D569" s="650">
        <v>0</v>
      </c>
      <c r="E569" s="217">
        <f t="shared" si="26"/>
        <v>0</v>
      </c>
      <c r="F569" s="870">
        <v>0</v>
      </c>
      <c r="G569" s="892">
        <f t="shared" si="27"/>
        <v>0</v>
      </c>
    </row>
    <row r="570" spans="1:7" ht="15.75" x14ac:dyDescent="0.25">
      <c r="A570" s="869"/>
      <c r="B570" s="865"/>
      <c r="C570" s="866">
        <v>0</v>
      </c>
      <c r="D570" s="650">
        <v>0</v>
      </c>
      <c r="E570" s="217">
        <f t="shared" si="26"/>
        <v>0</v>
      </c>
      <c r="F570" s="870">
        <v>0</v>
      </c>
      <c r="G570" s="892">
        <f t="shared" si="27"/>
        <v>0</v>
      </c>
    </row>
    <row r="571" spans="1:7" ht="16.5" thickBot="1" x14ac:dyDescent="0.3">
      <c r="A571" s="871"/>
      <c r="B571" s="872"/>
      <c r="C571" s="873">
        <v>0</v>
      </c>
      <c r="D571" s="221">
        <v>0</v>
      </c>
      <c r="E571" s="221">
        <f>SUM(D571+C571*D571)</f>
        <v>0</v>
      </c>
      <c r="F571" s="874">
        <v>0</v>
      </c>
      <c r="G571" s="893">
        <f t="shared" si="27"/>
        <v>0</v>
      </c>
    </row>
    <row r="572" spans="1:7" ht="16.5" thickTop="1" thickBot="1" x14ac:dyDescent="0.3"/>
    <row r="573" spans="1:7" ht="17.25" thickTop="1" thickBot="1" x14ac:dyDescent="0.3">
      <c r="E573" s="1181" t="s">
        <v>1182</v>
      </c>
      <c r="F573" s="1182"/>
      <c r="G573" s="875">
        <f>SUM(G561:G571)</f>
        <v>164.8724</v>
      </c>
    </row>
    <row r="574" spans="1:7" ht="17.25" thickTop="1" thickBot="1" x14ac:dyDescent="0.3">
      <c r="A574" s="204"/>
      <c r="B574" s="208"/>
      <c r="C574" s="204"/>
    </row>
    <row r="575" spans="1:7" ht="17.25" thickTop="1" thickBot="1" x14ac:dyDescent="0.3">
      <c r="A575" s="8" t="s">
        <v>1177</v>
      </c>
      <c r="B575" s="862" t="s">
        <v>3</v>
      </c>
      <c r="C575" s="1181" t="s">
        <v>334</v>
      </c>
      <c r="D575" s="1182"/>
      <c r="E575" s="858" t="s">
        <v>7</v>
      </c>
      <c r="F575" s="858" t="s">
        <v>614</v>
      </c>
      <c r="G575" s="20"/>
    </row>
    <row r="576" spans="1:7" ht="16.5" thickTop="1" x14ac:dyDescent="0.25">
      <c r="A576" s="876"/>
      <c r="B576" s="865"/>
      <c r="C576" s="1407">
        <v>0</v>
      </c>
      <c r="D576" s="1408"/>
      <c r="E576" s="897">
        <v>0</v>
      </c>
      <c r="F576" s="877">
        <f>E576*C576</f>
        <v>0</v>
      </c>
    </row>
    <row r="577" spans="1:7" ht="15.75" x14ac:dyDescent="0.25">
      <c r="A577" s="867"/>
      <c r="B577" s="865"/>
      <c r="C577" s="1413">
        <v>0</v>
      </c>
      <c r="D577" s="1414"/>
      <c r="E577" s="899">
        <v>0</v>
      </c>
      <c r="F577" s="878">
        <f>E577*C577</f>
        <v>0</v>
      </c>
    </row>
    <row r="578" spans="1:7" ht="15.75" x14ac:dyDescent="0.25">
      <c r="A578" s="867"/>
      <c r="B578" s="865"/>
      <c r="C578" s="1413">
        <v>0</v>
      </c>
      <c r="D578" s="1414"/>
      <c r="E578" s="899">
        <v>0</v>
      </c>
      <c r="F578" s="878">
        <f>E578*C578</f>
        <v>0</v>
      </c>
      <c r="G578" s="20"/>
    </row>
    <row r="579" spans="1:7" ht="16.5" thickBot="1" x14ac:dyDescent="0.3">
      <c r="A579" s="879"/>
      <c r="B579" s="872"/>
      <c r="C579" s="1391">
        <v>0</v>
      </c>
      <c r="D579" s="1392"/>
      <c r="E579" s="898">
        <v>0</v>
      </c>
      <c r="F579" s="880">
        <f>E579*C579</f>
        <v>0</v>
      </c>
      <c r="G579" s="20"/>
    </row>
    <row r="580" spans="1:7" ht="16.5" thickTop="1" thickBot="1" x14ac:dyDescent="0.3"/>
    <row r="581" spans="1:7" ht="17.25" thickTop="1" thickBot="1" x14ac:dyDescent="0.3">
      <c r="A581" s="204"/>
      <c r="B581" s="208"/>
      <c r="C581" s="204"/>
      <c r="D581" s="204"/>
      <c r="E581" s="1181" t="s">
        <v>1178</v>
      </c>
      <c r="F581" s="1182"/>
      <c r="G581" s="875">
        <f>SUM(F576:F579)</f>
        <v>0</v>
      </c>
    </row>
    <row r="582" spans="1:7" ht="16.5" thickTop="1" thickBot="1" x14ac:dyDescent="0.3">
      <c r="G582" s="20"/>
    </row>
    <row r="583" spans="1:7" ht="17.25" thickTop="1" thickBot="1" x14ac:dyDescent="0.3">
      <c r="A583" s="1181" t="s">
        <v>193</v>
      </c>
      <c r="B583" s="1182"/>
      <c r="C583" s="1181" t="s">
        <v>1179</v>
      </c>
      <c r="D583" s="1182"/>
      <c r="E583" s="858" t="s">
        <v>1180</v>
      </c>
      <c r="F583" s="858" t="s">
        <v>614</v>
      </c>
      <c r="G583" s="20"/>
    </row>
    <row r="584" spans="1:7" ht="16.5" thickTop="1" x14ac:dyDescent="0.25">
      <c r="A584" s="1393" t="s">
        <v>1268</v>
      </c>
      <c r="B584" s="1394"/>
      <c r="C584" s="1395">
        <v>0.7</v>
      </c>
      <c r="D584" s="1396"/>
      <c r="E584" s="250">
        <v>24.3</v>
      </c>
      <c r="F584" s="885">
        <f>E584*C584</f>
        <v>17.009999999999998</v>
      </c>
      <c r="G584" s="20"/>
    </row>
    <row r="585" spans="1:7" ht="15.75" x14ac:dyDescent="0.25">
      <c r="A585" s="1409" t="s">
        <v>1269</v>
      </c>
      <c r="B585" s="1410"/>
      <c r="C585" s="1411">
        <v>0.04</v>
      </c>
      <c r="D585" s="1412"/>
      <c r="E585" s="868">
        <v>24.3</v>
      </c>
      <c r="F585" s="887">
        <f>E585*C585</f>
        <v>0.97200000000000009</v>
      </c>
      <c r="G585" s="20"/>
    </row>
    <row r="586" spans="1:7" ht="15.75" x14ac:dyDescent="0.25">
      <c r="A586" s="1409" t="s">
        <v>1270</v>
      </c>
      <c r="B586" s="1410"/>
      <c r="C586" s="1411">
        <v>0.92</v>
      </c>
      <c r="D586" s="1412"/>
      <c r="E586" s="868">
        <v>24.3</v>
      </c>
      <c r="F586" s="887">
        <f>E586*C586</f>
        <v>22.356000000000002</v>
      </c>
      <c r="G586" s="20"/>
    </row>
    <row r="587" spans="1:7" ht="16.5" thickBot="1" x14ac:dyDescent="0.3">
      <c r="A587" s="1415"/>
      <c r="B587" s="1416"/>
      <c r="C587" s="1417">
        <v>0</v>
      </c>
      <c r="D587" s="1418"/>
      <c r="E587" s="874">
        <v>0</v>
      </c>
      <c r="F587" s="889">
        <f>E587*C587</f>
        <v>0</v>
      </c>
      <c r="G587" s="20"/>
    </row>
    <row r="588" spans="1:7" ht="17.25" thickTop="1" thickBot="1" x14ac:dyDescent="0.3">
      <c r="A588" s="204"/>
      <c r="B588" s="208"/>
    </row>
    <row r="589" spans="1:7" ht="17.25" thickTop="1" thickBot="1" x14ac:dyDescent="0.3">
      <c r="A589" s="20"/>
      <c r="B589" s="39"/>
      <c r="C589" s="20"/>
      <c r="D589" s="20"/>
      <c r="E589" s="1181" t="s">
        <v>1183</v>
      </c>
      <c r="F589" s="1182"/>
      <c r="G589" s="875">
        <f>SUM(F584:F587)</f>
        <v>40.338000000000001</v>
      </c>
    </row>
    <row r="590" spans="1:7" ht="16.5" thickTop="1" thickBot="1" x14ac:dyDescent="0.3">
      <c r="A590" s="20"/>
      <c r="B590" s="39"/>
      <c r="C590" s="20"/>
    </row>
    <row r="591" spans="1:7" ht="17.25" thickTop="1" thickBot="1" x14ac:dyDescent="0.3">
      <c r="D591" s="1384" t="s">
        <v>1181</v>
      </c>
      <c r="E591" s="1385"/>
      <c r="F591" s="1386"/>
      <c r="G591" s="881">
        <f>G573+G581+G589</f>
        <v>205.21039999999999</v>
      </c>
    </row>
    <row r="592" spans="1:7" ht="16.5" thickTop="1" thickBot="1" x14ac:dyDescent="0.3"/>
    <row r="593" spans="1:7" ht="17.25" thickTop="1" thickBot="1" x14ac:dyDescent="0.3">
      <c r="A593" s="1384" t="s">
        <v>1190</v>
      </c>
      <c r="B593" s="1385"/>
      <c r="C593" s="1386"/>
      <c r="D593" s="896">
        <f>D341</f>
        <v>1.42</v>
      </c>
      <c r="G593" s="881">
        <f>G591*D593</f>
        <v>291.39876799999996</v>
      </c>
    </row>
    <row r="594" spans="1:7" ht="15.75" thickTop="1" x14ac:dyDescent="0.25"/>
    <row r="598" spans="1:7" ht="15.75" thickBot="1" x14ac:dyDescent="0.3"/>
    <row r="599" spans="1:7" ht="17.25" thickTop="1" thickBot="1" x14ac:dyDescent="0.3">
      <c r="A599" s="1397" t="s">
        <v>1175</v>
      </c>
      <c r="B599" s="1399" t="s">
        <v>1239</v>
      </c>
      <c r="C599" s="1399"/>
      <c r="D599" s="1400"/>
      <c r="E599" s="860" t="s">
        <v>57</v>
      </c>
      <c r="F599" s="1403">
        <f ca="1">TODAY()</f>
        <v>46093</v>
      </c>
      <c r="G599" s="1404"/>
    </row>
    <row r="600" spans="1:7" ht="17.25" thickTop="1" thickBot="1" x14ac:dyDescent="0.3">
      <c r="A600" s="1398"/>
      <c r="B600" s="1401"/>
      <c r="C600" s="1401"/>
      <c r="D600" s="1402"/>
      <c r="E600" s="861" t="s">
        <v>1176</v>
      </c>
      <c r="F600" s="1405" t="s">
        <v>12</v>
      </c>
      <c r="G600" s="1406"/>
    </row>
    <row r="601" spans="1:7" ht="17.25" thickTop="1" thickBot="1" x14ac:dyDescent="0.3">
      <c r="A601" s="204"/>
      <c r="B601" s="208"/>
      <c r="C601" s="204"/>
      <c r="D601" s="204"/>
      <c r="E601" s="204"/>
      <c r="F601" s="204"/>
      <c r="G601" s="20"/>
    </row>
    <row r="602" spans="1:7" ht="33" thickTop="1" thickBot="1" x14ac:dyDescent="0.3">
      <c r="A602" s="8" t="s">
        <v>612</v>
      </c>
      <c r="B602" s="862" t="s">
        <v>3</v>
      </c>
      <c r="C602" s="8" t="s">
        <v>622</v>
      </c>
      <c r="D602" s="863" t="s">
        <v>334</v>
      </c>
      <c r="E602" s="864" t="s">
        <v>1107</v>
      </c>
      <c r="F602" s="858" t="s">
        <v>7</v>
      </c>
      <c r="G602" s="858" t="s">
        <v>614</v>
      </c>
    </row>
    <row r="603" spans="1:7" ht="16.5" thickTop="1" x14ac:dyDescent="0.25">
      <c r="A603" s="876" t="s">
        <v>1271</v>
      </c>
      <c r="B603" s="865" t="s">
        <v>3</v>
      </c>
      <c r="C603" s="223">
        <v>0</v>
      </c>
      <c r="D603" s="883">
        <v>10</v>
      </c>
      <c r="E603" s="650">
        <f t="shared" ref="E603:E613" si="28">SUM(D603+C603*D603)</f>
        <v>10</v>
      </c>
      <c r="F603" s="250">
        <v>0.84</v>
      </c>
      <c r="G603" s="877">
        <f>F603*E603</f>
        <v>8.4</v>
      </c>
    </row>
    <row r="604" spans="1:7" ht="15.75" x14ac:dyDescent="0.25">
      <c r="A604" s="867" t="s">
        <v>1272</v>
      </c>
      <c r="B604" s="865" t="s">
        <v>290</v>
      </c>
      <c r="C604" s="223">
        <v>0</v>
      </c>
      <c r="D604" s="650">
        <v>0.35</v>
      </c>
      <c r="E604" s="650">
        <f t="shared" si="28"/>
        <v>0.35</v>
      </c>
      <c r="F604" s="868">
        <f>'SOUS DETAIL INTERMEDIAIRE MORTI'!H28</f>
        <v>324.16999999999996</v>
      </c>
      <c r="G604" s="892">
        <f>F604*E604</f>
        <v>113.45949999999998</v>
      </c>
    </row>
    <row r="605" spans="1:7" ht="15.75" x14ac:dyDescent="0.25">
      <c r="A605" s="867"/>
      <c r="B605" s="865"/>
      <c r="C605" s="223">
        <v>0</v>
      </c>
      <c r="D605" s="650">
        <v>0</v>
      </c>
      <c r="E605" s="650">
        <f t="shared" si="28"/>
        <v>0</v>
      </c>
      <c r="F605" s="868">
        <v>0</v>
      </c>
      <c r="G605" s="892">
        <f>F605*E605</f>
        <v>0</v>
      </c>
    </row>
    <row r="606" spans="1:7" ht="15.75" x14ac:dyDescent="0.25">
      <c r="A606" s="867"/>
      <c r="B606" s="865"/>
      <c r="C606" s="223">
        <v>0</v>
      </c>
      <c r="D606" s="650">
        <v>0</v>
      </c>
      <c r="E606" s="650">
        <f t="shared" si="28"/>
        <v>0</v>
      </c>
      <c r="F606" s="868">
        <v>0</v>
      </c>
      <c r="G606" s="892">
        <f>F606*E606</f>
        <v>0</v>
      </c>
    </row>
    <row r="607" spans="1:7" ht="15.75" x14ac:dyDescent="0.25">
      <c r="A607" s="867"/>
      <c r="B607" s="865"/>
      <c r="C607" s="223">
        <v>0</v>
      </c>
      <c r="D607" s="650">
        <v>0</v>
      </c>
      <c r="E607" s="650">
        <f t="shared" si="28"/>
        <v>0</v>
      </c>
      <c r="F607" s="868">
        <v>0</v>
      </c>
      <c r="G607" s="892">
        <f t="shared" ref="G607:G614" si="29">F607*E607</f>
        <v>0</v>
      </c>
    </row>
    <row r="608" spans="1:7" ht="15.75" x14ac:dyDescent="0.25">
      <c r="A608" s="867"/>
      <c r="B608" s="865"/>
      <c r="C608" s="223">
        <v>0</v>
      </c>
      <c r="D608" s="650">
        <v>0</v>
      </c>
      <c r="E608" s="650">
        <f t="shared" si="28"/>
        <v>0</v>
      </c>
      <c r="F608" s="868">
        <v>0</v>
      </c>
      <c r="G608" s="892">
        <f t="shared" si="29"/>
        <v>0</v>
      </c>
    </row>
    <row r="609" spans="1:7" ht="15.75" x14ac:dyDescent="0.25">
      <c r="A609" s="869"/>
      <c r="B609" s="865"/>
      <c r="C609" s="866">
        <v>0</v>
      </c>
      <c r="D609" s="650">
        <v>0</v>
      </c>
      <c r="E609" s="217">
        <f t="shared" si="28"/>
        <v>0</v>
      </c>
      <c r="F609" s="870">
        <v>0</v>
      </c>
      <c r="G609" s="892">
        <f t="shared" si="29"/>
        <v>0</v>
      </c>
    </row>
    <row r="610" spans="1:7" ht="15.75" x14ac:dyDescent="0.25">
      <c r="A610" s="867"/>
      <c r="B610" s="865"/>
      <c r="C610" s="223">
        <v>0</v>
      </c>
      <c r="D610" s="650">
        <v>0</v>
      </c>
      <c r="E610" s="650">
        <f t="shared" si="28"/>
        <v>0</v>
      </c>
      <c r="F610" s="868">
        <v>0</v>
      </c>
      <c r="G610" s="892">
        <f t="shared" si="29"/>
        <v>0</v>
      </c>
    </row>
    <row r="611" spans="1:7" ht="15.75" x14ac:dyDescent="0.25">
      <c r="A611" s="869"/>
      <c r="B611" s="865"/>
      <c r="C611" s="866">
        <v>0</v>
      </c>
      <c r="D611" s="650">
        <v>0</v>
      </c>
      <c r="E611" s="217">
        <f t="shared" si="28"/>
        <v>0</v>
      </c>
      <c r="F611" s="870">
        <v>0</v>
      </c>
      <c r="G611" s="892">
        <f t="shared" si="29"/>
        <v>0</v>
      </c>
    </row>
    <row r="612" spans="1:7" ht="15.75" x14ac:dyDescent="0.25">
      <c r="A612" s="882"/>
      <c r="B612" s="865"/>
      <c r="C612" s="866">
        <v>0</v>
      </c>
      <c r="D612" s="650">
        <v>0</v>
      </c>
      <c r="E612" s="217">
        <f t="shared" si="28"/>
        <v>0</v>
      </c>
      <c r="F612" s="870">
        <v>0</v>
      </c>
      <c r="G612" s="892">
        <f t="shared" si="29"/>
        <v>0</v>
      </c>
    </row>
    <row r="613" spans="1:7" ht="15.75" x14ac:dyDescent="0.25">
      <c r="A613" s="869"/>
      <c r="B613" s="865"/>
      <c r="C613" s="866">
        <v>0</v>
      </c>
      <c r="D613" s="650">
        <v>0</v>
      </c>
      <c r="E613" s="217">
        <f t="shared" si="28"/>
        <v>0</v>
      </c>
      <c r="F613" s="870">
        <v>0</v>
      </c>
      <c r="G613" s="892">
        <f t="shared" si="29"/>
        <v>0</v>
      </c>
    </row>
    <row r="614" spans="1:7" ht="16.5" thickBot="1" x14ac:dyDescent="0.3">
      <c r="A614" s="871"/>
      <c r="B614" s="872"/>
      <c r="C614" s="873">
        <v>0</v>
      </c>
      <c r="D614" s="221">
        <v>0</v>
      </c>
      <c r="E614" s="221">
        <f>SUM(D614+C614*D614)</f>
        <v>0</v>
      </c>
      <c r="F614" s="874">
        <v>0</v>
      </c>
      <c r="G614" s="893">
        <f t="shared" si="29"/>
        <v>0</v>
      </c>
    </row>
    <row r="615" spans="1:7" ht="16.5" thickTop="1" thickBot="1" x14ac:dyDescent="0.3"/>
    <row r="616" spans="1:7" ht="17.25" thickTop="1" thickBot="1" x14ac:dyDescent="0.3">
      <c r="E616" s="1181" t="s">
        <v>1182</v>
      </c>
      <c r="F616" s="1182"/>
      <c r="G616" s="875">
        <f>SUM(G603:G614)</f>
        <v>121.85949999999998</v>
      </c>
    </row>
    <row r="617" spans="1:7" ht="17.25" thickTop="1" thickBot="1" x14ac:dyDescent="0.3">
      <c r="A617" s="204"/>
      <c r="B617" s="208"/>
      <c r="C617" s="204"/>
    </row>
    <row r="618" spans="1:7" ht="17.25" thickTop="1" thickBot="1" x14ac:dyDescent="0.3">
      <c r="A618" s="8" t="s">
        <v>1177</v>
      </c>
      <c r="B618" s="862" t="s">
        <v>3</v>
      </c>
      <c r="C618" s="1181" t="s">
        <v>334</v>
      </c>
      <c r="D618" s="1182"/>
      <c r="E618" s="858" t="s">
        <v>7</v>
      </c>
      <c r="F618" s="858" t="s">
        <v>614</v>
      </c>
      <c r="G618" s="20"/>
    </row>
    <row r="619" spans="1:7" ht="16.5" thickTop="1" x14ac:dyDescent="0.25">
      <c r="A619" s="876"/>
      <c r="B619" s="865"/>
      <c r="C619" s="1407">
        <v>0</v>
      </c>
      <c r="D619" s="1408"/>
      <c r="E619" s="897">
        <v>0</v>
      </c>
      <c r="F619" s="877">
        <f>E619*C619</f>
        <v>0</v>
      </c>
    </row>
    <row r="620" spans="1:7" ht="15.75" x14ac:dyDescent="0.25">
      <c r="A620" s="867"/>
      <c r="B620" s="865"/>
      <c r="C620" s="1413">
        <v>0</v>
      </c>
      <c r="D620" s="1414"/>
      <c r="E620" s="899">
        <v>0</v>
      </c>
      <c r="F620" s="878">
        <f>E620*C620</f>
        <v>0</v>
      </c>
    </row>
    <row r="621" spans="1:7" ht="15.75" x14ac:dyDescent="0.25">
      <c r="A621" s="867"/>
      <c r="B621" s="865"/>
      <c r="C621" s="1413">
        <v>0</v>
      </c>
      <c r="D621" s="1414"/>
      <c r="E621" s="899">
        <v>0</v>
      </c>
      <c r="F621" s="878">
        <f>E621*C621</f>
        <v>0</v>
      </c>
      <c r="G621" s="20"/>
    </row>
    <row r="622" spans="1:7" ht="16.5" thickBot="1" x14ac:dyDescent="0.3">
      <c r="A622" s="879"/>
      <c r="B622" s="872"/>
      <c r="C622" s="1391">
        <v>0</v>
      </c>
      <c r="D622" s="1392"/>
      <c r="E622" s="898">
        <v>0</v>
      </c>
      <c r="F622" s="880">
        <f>E622*C622</f>
        <v>0</v>
      </c>
      <c r="G622" s="20"/>
    </row>
    <row r="623" spans="1:7" ht="16.5" thickTop="1" thickBot="1" x14ac:dyDescent="0.3"/>
    <row r="624" spans="1:7" ht="17.25" thickTop="1" thickBot="1" x14ac:dyDescent="0.3">
      <c r="A624" s="204"/>
      <c r="B624" s="208"/>
      <c r="C624" s="204"/>
      <c r="D624" s="204"/>
      <c r="E624" s="1181" t="s">
        <v>1178</v>
      </c>
      <c r="F624" s="1182"/>
      <c r="G624" s="875">
        <f>SUM(F619:F622)</f>
        <v>0</v>
      </c>
    </row>
    <row r="625" spans="1:7" ht="16.5" thickTop="1" thickBot="1" x14ac:dyDescent="0.3">
      <c r="G625" s="20"/>
    </row>
    <row r="626" spans="1:7" ht="17.25" thickTop="1" thickBot="1" x14ac:dyDescent="0.3">
      <c r="A626" s="1181" t="s">
        <v>193</v>
      </c>
      <c r="B626" s="1182"/>
      <c r="C626" s="1181" t="s">
        <v>1179</v>
      </c>
      <c r="D626" s="1182"/>
      <c r="E626" s="858" t="s">
        <v>1180</v>
      </c>
      <c r="F626" s="858" t="s">
        <v>614</v>
      </c>
      <c r="G626" s="20"/>
    </row>
    <row r="627" spans="1:7" ht="16.5" thickTop="1" x14ac:dyDescent="0.25">
      <c r="A627" s="1393" t="s">
        <v>1273</v>
      </c>
      <c r="B627" s="1394"/>
      <c r="C627" s="1395">
        <v>0.79</v>
      </c>
      <c r="D627" s="1396"/>
      <c r="E627" s="250">
        <v>24.3</v>
      </c>
      <c r="F627" s="885">
        <f>E627*C627</f>
        <v>19.197000000000003</v>
      </c>
      <c r="G627" s="20"/>
    </row>
    <row r="628" spans="1:7" ht="15.75" x14ac:dyDescent="0.25">
      <c r="A628" s="1409"/>
      <c r="B628" s="1410"/>
      <c r="C628" s="1411">
        <v>0</v>
      </c>
      <c r="D628" s="1412"/>
      <c r="E628" s="868">
        <v>0</v>
      </c>
      <c r="F628" s="887">
        <f>E628*C628</f>
        <v>0</v>
      </c>
      <c r="G628" s="20"/>
    </row>
    <row r="629" spans="1:7" ht="15.75" x14ac:dyDescent="0.25">
      <c r="A629" s="1409"/>
      <c r="B629" s="1410"/>
      <c r="C629" s="1411">
        <v>0</v>
      </c>
      <c r="D629" s="1412"/>
      <c r="E629" s="868">
        <v>0</v>
      </c>
      <c r="F629" s="887">
        <f>E629*C629</f>
        <v>0</v>
      </c>
      <c r="G629" s="20"/>
    </row>
    <row r="630" spans="1:7" ht="16.5" thickBot="1" x14ac:dyDescent="0.3">
      <c r="A630" s="1415"/>
      <c r="B630" s="1416"/>
      <c r="C630" s="1417">
        <v>0</v>
      </c>
      <c r="D630" s="1418"/>
      <c r="E630" s="874">
        <v>0</v>
      </c>
      <c r="F630" s="889">
        <f>E630*C630</f>
        <v>0</v>
      </c>
      <c r="G630" s="20"/>
    </row>
    <row r="631" spans="1:7" ht="17.25" thickTop="1" thickBot="1" x14ac:dyDescent="0.3">
      <c r="A631" s="204"/>
      <c r="B631" s="208"/>
    </row>
    <row r="632" spans="1:7" ht="17.25" thickTop="1" thickBot="1" x14ac:dyDescent="0.3">
      <c r="A632" s="20"/>
      <c r="B632" s="39"/>
      <c r="C632" s="20"/>
      <c r="D632" s="20"/>
      <c r="E632" s="1181" t="s">
        <v>1183</v>
      </c>
      <c r="F632" s="1182"/>
      <c r="G632" s="875">
        <f>SUM(F627:F630)</f>
        <v>19.197000000000003</v>
      </c>
    </row>
    <row r="633" spans="1:7" ht="16.5" thickTop="1" thickBot="1" x14ac:dyDescent="0.3">
      <c r="A633" s="20"/>
      <c r="B633" s="39"/>
      <c r="C633" s="20"/>
    </row>
    <row r="634" spans="1:7" ht="17.25" thickTop="1" thickBot="1" x14ac:dyDescent="0.3">
      <c r="D634" s="1384" t="s">
        <v>1181</v>
      </c>
      <c r="E634" s="1385"/>
      <c r="F634" s="1386"/>
      <c r="G634" s="881">
        <f>G616+G624+G632</f>
        <v>141.05649999999997</v>
      </c>
    </row>
    <row r="635" spans="1:7" ht="16.5" thickTop="1" thickBot="1" x14ac:dyDescent="0.3"/>
    <row r="636" spans="1:7" ht="17.25" thickTop="1" thickBot="1" x14ac:dyDescent="0.3">
      <c r="A636" s="1384" t="s">
        <v>1190</v>
      </c>
      <c r="B636" s="1385"/>
      <c r="C636" s="1386"/>
      <c r="D636" s="896">
        <f>D341</f>
        <v>1.42</v>
      </c>
      <c r="G636" s="881">
        <f>G634*D636</f>
        <v>200.30022999999994</v>
      </c>
    </row>
    <row r="637" spans="1:7" ht="15.75" thickTop="1" x14ac:dyDescent="0.25"/>
    <row r="641" spans="6:7" x14ac:dyDescent="0.25">
      <c r="G641" s="900"/>
    </row>
    <row r="643" spans="6:7" x14ac:dyDescent="0.25">
      <c r="F643" s="1560"/>
    </row>
  </sheetData>
  <mergeCells count="341">
    <mergeCell ref="A158:B158"/>
    <mergeCell ref="C158:D158"/>
    <mergeCell ref="A159:B159"/>
    <mergeCell ref="C159:D159"/>
    <mergeCell ref="A160:B160"/>
    <mergeCell ref="C160:D160"/>
    <mergeCell ref="C151:D151"/>
    <mergeCell ref="C152:D152"/>
    <mergeCell ref="E154:F154"/>
    <mergeCell ref="C156:D156"/>
    <mergeCell ref="A157:B157"/>
    <mergeCell ref="C157:D157"/>
    <mergeCell ref="A156:B156"/>
    <mergeCell ref="A45:A46"/>
    <mergeCell ref="B45:D46"/>
    <mergeCell ref="F45:G45"/>
    <mergeCell ref="F46:G46"/>
    <mergeCell ref="E62:F62"/>
    <mergeCell ref="C64:D64"/>
    <mergeCell ref="C65:D65"/>
    <mergeCell ref="C66:D66"/>
    <mergeCell ref="C67:D67"/>
    <mergeCell ref="C68:D68"/>
    <mergeCell ref="E70:F70"/>
    <mergeCell ref="A72:B72"/>
    <mergeCell ref="C72:D72"/>
    <mergeCell ref="A73:B73"/>
    <mergeCell ref="C73:D73"/>
    <mergeCell ref="A74:B74"/>
    <mergeCell ref="C74:D74"/>
    <mergeCell ref="A629:B629"/>
    <mergeCell ref="C629:D629"/>
    <mergeCell ref="A630:B630"/>
    <mergeCell ref="C630:D630"/>
    <mergeCell ref="E632:F632"/>
    <mergeCell ref="D634:F634"/>
    <mergeCell ref="A636:C636"/>
    <mergeCell ref="C620:D620"/>
    <mergeCell ref="C621:D621"/>
    <mergeCell ref="C622:D622"/>
    <mergeCell ref="E624:F624"/>
    <mergeCell ref="A626:B626"/>
    <mergeCell ref="C626:D626"/>
    <mergeCell ref="A627:B627"/>
    <mergeCell ref="C627:D627"/>
    <mergeCell ref="A628:B628"/>
    <mergeCell ref="C628:D628"/>
    <mergeCell ref="A599:A600"/>
    <mergeCell ref="B599:D600"/>
    <mergeCell ref="F599:G599"/>
    <mergeCell ref="F600:G600"/>
    <mergeCell ref="E616:F616"/>
    <mergeCell ref="C618:D618"/>
    <mergeCell ref="C619:D619"/>
    <mergeCell ref="D591:F591"/>
    <mergeCell ref="A593:C593"/>
    <mergeCell ref="A584:B584"/>
    <mergeCell ref="C584:D584"/>
    <mergeCell ref="A585:B585"/>
    <mergeCell ref="C585:D585"/>
    <mergeCell ref="A586:B586"/>
    <mergeCell ref="C586:D586"/>
    <mergeCell ref="A587:B587"/>
    <mergeCell ref="C587:D587"/>
    <mergeCell ref="E589:F589"/>
    <mergeCell ref="E573:F573"/>
    <mergeCell ref="C575:D575"/>
    <mergeCell ref="C576:D576"/>
    <mergeCell ref="C577:D577"/>
    <mergeCell ref="C578:D578"/>
    <mergeCell ref="C579:D579"/>
    <mergeCell ref="E581:F581"/>
    <mergeCell ref="A583:B583"/>
    <mergeCell ref="C583:D583"/>
    <mergeCell ref="A544:B544"/>
    <mergeCell ref="C544:D544"/>
    <mergeCell ref="A545:B545"/>
    <mergeCell ref="C545:D545"/>
    <mergeCell ref="E547:F547"/>
    <mergeCell ref="D549:F549"/>
    <mergeCell ref="A551:C551"/>
    <mergeCell ref="A557:A558"/>
    <mergeCell ref="B557:D558"/>
    <mergeCell ref="F557:G557"/>
    <mergeCell ref="F558:G558"/>
    <mergeCell ref="C535:D535"/>
    <mergeCell ref="C536:D536"/>
    <mergeCell ref="C537:D537"/>
    <mergeCell ref="E539:F539"/>
    <mergeCell ref="A541:B541"/>
    <mergeCell ref="C541:D541"/>
    <mergeCell ref="A542:B542"/>
    <mergeCell ref="C542:D542"/>
    <mergeCell ref="A543:B543"/>
    <mergeCell ref="C543:D543"/>
    <mergeCell ref="D507:F507"/>
    <mergeCell ref="A509:C509"/>
    <mergeCell ref="A514:A515"/>
    <mergeCell ref="B514:D515"/>
    <mergeCell ref="F514:G514"/>
    <mergeCell ref="F515:G515"/>
    <mergeCell ref="E531:F531"/>
    <mergeCell ref="C533:D533"/>
    <mergeCell ref="C534:D534"/>
    <mergeCell ref="A500:B500"/>
    <mergeCell ref="C500:D500"/>
    <mergeCell ref="A501:B501"/>
    <mergeCell ref="C501:D501"/>
    <mergeCell ref="A502:B502"/>
    <mergeCell ref="C502:D502"/>
    <mergeCell ref="A503:B503"/>
    <mergeCell ref="C503:D503"/>
    <mergeCell ref="E505:F505"/>
    <mergeCell ref="E489:F489"/>
    <mergeCell ref="C491:D491"/>
    <mergeCell ref="C492:D492"/>
    <mergeCell ref="C493:D493"/>
    <mergeCell ref="C494:D494"/>
    <mergeCell ref="C495:D495"/>
    <mergeCell ref="E497:F497"/>
    <mergeCell ref="A499:B499"/>
    <mergeCell ref="C499:D499"/>
    <mergeCell ref="A461:B461"/>
    <mergeCell ref="C461:D461"/>
    <mergeCell ref="A462:B462"/>
    <mergeCell ref="C462:D462"/>
    <mergeCell ref="E464:F464"/>
    <mergeCell ref="D466:F466"/>
    <mergeCell ref="A468:C468"/>
    <mergeCell ref="A474:A475"/>
    <mergeCell ref="B474:D475"/>
    <mergeCell ref="F474:G474"/>
    <mergeCell ref="F475:G475"/>
    <mergeCell ref="C452:D452"/>
    <mergeCell ref="C453:D453"/>
    <mergeCell ref="C454:D454"/>
    <mergeCell ref="E456:F456"/>
    <mergeCell ref="A458:B458"/>
    <mergeCell ref="C458:D458"/>
    <mergeCell ref="A459:B459"/>
    <mergeCell ref="C459:D459"/>
    <mergeCell ref="A460:B460"/>
    <mergeCell ref="C460:D460"/>
    <mergeCell ref="D423:F423"/>
    <mergeCell ref="A425:C425"/>
    <mergeCell ref="A431:A432"/>
    <mergeCell ref="B431:D432"/>
    <mergeCell ref="F431:G431"/>
    <mergeCell ref="F432:G432"/>
    <mergeCell ref="E448:F448"/>
    <mergeCell ref="C450:D450"/>
    <mergeCell ref="C451:D451"/>
    <mergeCell ref="A415:B415"/>
    <mergeCell ref="C415:D415"/>
    <mergeCell ref="A416:B416"/>
    <mergeCell ref="C416:D416"/>
    <mergeCell ref="A418:B418"/>
    <mergeCell ref="C418:D418"/>
    <mergeCell ref="A419:B419"/>
    <mergeCell ref="C419:D419"/>
    <mergeCell ref="E421:F421"/>
    <mergeCell ref="A417:B417"/>
    <mergeCell ref="C417:D417"/>
    <mergeCell ref="E404:F404"/>
    <mergeCell ref="C406:D406"/>
    <mergeCell ref="C407:D407"/>
    <mergeCell ref="C408:D408"/>
    <mergeCell ref="C409:D409"/>
    <mergeCell ref="C410:D410"/>
    <mergeCell ref="E412:F412"/>
    <mergeCell ref="A414:B414"/>
    <mergeCell ref="C414:D414"/>
    <mergeCell ref="A376:B376"/>
    <mergeCell ref="C376:D376"/>
    <mergeCell ref="A377:B377"/>
    <mergeCell ref="C377:D377"/>
    <mergeCell ref="E379:F379"/>
    <mergeCell ref="D381:F381"/>
    <mergeCell ref="A383:C383"/>
    <mergeCell ref="A387:A388"/>
    <mergeCell ref="B387:D388"/>
    <mergeCell ref="F387:G387"/>
    <mergeCell ref="F388:G388"/>
    <mergeCell ref="C367:D367"/>
    <mergeCell ref="C368:D368"/>
    <mergeCell ref="C369:D369"/>
    <mergeCell ref="E371:F371"/>
    <mergeCell ref="A373:B373"/>
    <mergeCell ref="C373:D373"/>
    <mergeCell ref="A374:B374"/>
    <mergeCell ref="C374:D374"/>
    <mergeCell ref="A375:B375"/>
    <mergeCell ref="C375:D375"/>
    <mergeCell ref="D339:F339"/>
    <mergeCell ref="A341:C341"/>
    <mergeCell ref="A346:A347"/>
    <mergeCell ref="B346:D347"/>
    <mergeCell ref="F346:G346"/>
    <mergeCell ref="F347:G347"/>
    <mergeCell ref="E363:F363"/>
    <mergeCell ref="C365:D365"/>
    <mergeCell ref="C366:D366"/>
    <mergeCell ref="A332:B332"/>
    <mergeCell ref="C332:D332"/>
    <mergeCell ref="A333:B333"/>
    <mergeCell ref="C333:D333"/>
    <mergeCell ref="A334:B334"/>
    <mergeCell ref="C334:D334"/>
    <mergeCell ref="A335:B335"/>
    <mergeCell ref="C335:D335"/>
    <mergeCell ref="E337:F337"/>
    <mergeCell ref="E321:F321"/>
    <mergeCell ref="C323:D323"/>
    <mergeCell ref="C324:D324"/>
    <mergeCell ref="C325:D325"/>
    <mergeCell ref="C326:D326"/>
    <mergeCell ref="C327:D327"/>
    <mergeCell ref="E329:F329"/>
    <mergeCell ref="A331:B331"/>
    <mergeCell ref="C331:D331"/>
    <mergeCell ref="A249:B249"/>
    <mergeCell ref="C249:D249"/>
    <mergeCell ref="E251:F251"/>
    <mergeCell ref="D253:F253"/>
    <mergeCell ref="A255:C255"/>
    <mergeCell ref="A304:A305"/>
    <mergeCell ref="B304:D305"/>
    <mergeCell ref="F304:G304"/>
    <mergeCell ref="F305:G305"/>
    <mergeCell ref="D286:F286"/>
    <mergeCell ref="C268:G268"/>
    <mergeCell ref="C270:F270"/>
    <mergeCell ref="C241:D241"/>
    <mergeCell ref="E243:F243"/>
    <mergeCell ref="A245:B245"/>
    <mergeCell ref="C245:D245"/>
    <mergeCell ref="A246:B246"/>
    <mergeCell ref="C246:D246"/>
    <mergeCell ref="A247:B247"/>
    <mergeCell ref="C247:D247"/>
    <mergeCell ref="A248:B248"/>
    <mergeCell ref="C248:D248"/>
    <mergeCell ref="A218:A219"/>
    <mergeCell ref="B218:D219"/>
    <mergeCell ref="F218:G218"/>
    <mergeCell ref="F219:G219"/>
    <mergeCell ref="E235:F235"/>
    <mergeCell ref="C237:D237"/>
    <mergeCell ref="C238:D238"/>
    <mergeCell ref="C239:D239"/>
    <mergeCell ref="C240:D240"/>
    <mergeCell ref="C195:D195"/>
    <mergeCell ref="C196:D196"/>
    <mergeCell ref="C197:D197"/>
    <mergeCell ref="C198:D198"/>
    <mergeCell ref="E200:F200"/>
    <mergeCell ref="A212:C212"/>
    <mergeCell ref="A206:B206"/>
    <mergeCell ref="C206:D206"/>
    <mergeCell ref="E208:F208"/>
    <mergeCell ref="D210:F210"/>
    <mergeCell ref="C202:D202"/>
    <mergeCell ref="A203:B203"/>
    <mergeCell ref="C203:D203"/>
    <mergeCell ref="A204:B204"/>
    <mergeCell ref="C204:D204"/>
    <mergeCell ref="A205:B205"/>
    <mergeCell ref="C205:D205"/>
    <mergeCell ref="A202:B202"/>
    <mergeCell ref="A175:A176"/>
    <mergeCell ref="B175:D176"/>
    <mergeCell ref="F175:G175"/>
    <mergeCell ref="F176:G176"/>
    <mergeCell ref="C194:D194"/>
    <mergeCell ref="E192:F192"/>
    <mergeCell ref="E162:F162"/>
    <mergeCell ref="D164:F164"/>
    <mergeCell ref="A166:C166"/>
    <mergeCell ref="F132:G132"/>
    <mergeCell ref="E146:F146"/>
    <mergeCell ref="C149:D149"/>
    <mergeCell ref="C150:D150"/>
    <mergeCell ref="A117:B117"/>
    <mergeCell ref="C117:D117"/>
    <mergeCell ref="A118:B118"/>
    <mergeCell ref="C118:D118"/>
    <mergeCell ref="A119:B119"/>
    <mergeCell ref="C119:D119"/>
    <mergeCell ref="E121:F121"/>
    <mergeCell ref="D123:F123"/>
    <mergeCell ref="A131:A132"/>
    <mergeCell ref="C148:D148"/>
    <mergeCell ref="A125:C125"/>
    <mergeCell ref="B131:D132"/>
    <mergeCell ref="F131:G131"/>
    <mergeCell ref="A2:A3"/>
    <mergeCell ref="B2:D3"/>
    <mergeCell ref="F2:G2"/>
    <mergeCell ref="F3:G3"/>
    <mergeCell ref="C29:D29"/>
    <mergeCell ref="C109:D109"/>
    <mergeCell ref="C21:D21"/>
    <mergeCell ref="A29:B29"/>
    <mergeCell ref="A39:C39"/>
    <mergeCell ref="A75:B75"/>
    <mergeCell ref="C75:D75"/>
    <mergeCell ref="A76:B76"/>
    <mergeCell ref="C76:D76"/>
    <mergeCell ref="E78:F78"/>
    <mergeCell ref="D80:F80"/>
    <mergeCell ref="A82:C82"/>
    <mergeCell ref="A32:B32"/>
    <mergeCell ref="C32:D32"/>
    <mergeCell ref="A33:B33"/>
    <mergeCell ref="C33:D33"/>
    <mergeCell ref="E35:F35"/>
    <mergeCell ref="D37:F37"/>
    <mergeCell ref="C24:D24"/>
    <mergeCell ref="C25:D25"/>
    <mergeCell ref="E27:F27"/>
    <mergeCell ref="A30:B30"/>
    <mergeCell ref="C30:D30"/>
    <mergeCell ref="A31:B31"/>
    <mergeCell ref="C31:D31"/>
    <mergeCell ref="E19:F19"/>
    <mergeCell ref="C22:D22"/>
    <mergeCell ref="C23:D23"/>
    <mergeCell ref="C110:D110"/>
    <mergeCell ref="C111:D111"/>
    <mergeCell ref="E113:F113"/>
    <mergeCell ref="C115:D115"/>
    <mergeCell ref="A116:B116"/>
    <mergeCell ref="C116:D116"/>
    <mergeCell ref="A88:A89"/>
    <mergeCell ref="B88:D89"/>
    <mergeCell ref="F88:G88"/>
    <mergeCell ref="F89:G89"/>
    <mergeCell ref="E105:F105"/>
    <mergeCell ref="C108:D108"/>
    <mergeCell ref="C107:D107"/>
    <mergeCell ref="A115:B115"/>
  </mergeCells>
  <phoneticPr fontId="8" type="noConversion"/>
  <pageMargins left="0.25" right="0.25" top="0.75" bottom="0.75" header="0.3" footer="0.3"/>
  <pageSetup paperSize="9" orientation="portrait" r:id="rId1"/>
  <headerFooter>
    <oddHeader>&amp;LEL RHALMANI OUSSAMA&amp;C&amp;"Calibri,Gras"&amp;18SOUS-DETAIL DE DEBOURSE SEC UNITAIRE&amp;RTS 424 EP</oddHeader>
    <oddFooter>&amp;C&amp;P/&amp;N</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B04F7270-A06F-4732-BB75-5EF5E8D5F633}">
          <x14:formula1>
            <xm:f>Notes!$B$2:$B$13</xm:f>
          </x14:formula1>
          <xm:sqref>B6:B17 B22:B25 B49:B60 B65:B68 B92:B103 B108:B111 B149:B152 B222:B233 B238:B241 B308:B319 B324:B327 B350:B361 B366:B369 B391:B402 B407:B410 B435:B446 B451:B454 B492:B495 B518:B529 B534:B537 B576:B579 B603:B614 B619:B622 B179:B190 B195:B198 B478:B487 B561:B571 B135:B144</xm:sqref>
        </x14:dataValidation>
        <x14:dataValidation type="list" allowBlank="1" showInputMessage="1" showErrorMessage="1" xr:uid="{EDC3BE2B-E5F5-4C31-84F7-ACB0AEC6E7ED}">
          <x14:formula1>
            <xm:f>Notes!$B$3:$B$13</xm:f>
          </x14:formula1>
          <xm:sqref>F3:G3 F46:G46 F89:G89 F132:G132 F176:G176 F219:G219 F305:G305 F347:G347 F388:G388 F432:G432 F475:G475 F515:G515 F558:G558 F600:G600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A04B2-9010-4B0B-9F34-EAE9AC63F3ED}">
  <dimension ref="A1:R67"/>
  <sheetViews>
    <sheetView view="pageLayout" topLeftCell="A44" zoomScale="85" zoomScaleNormal="100" zoomScalePageLayoutView="85" workbookViewId="0">
      <selection activeCell="L47" sqref="L47:M47"/>
    </sheetView>
  </sheetViews>
  <sheetFormatPr baseColWidth="10" defaultColWidth="11.42578125" defaultRowHeight="15.75" x14ac:dyDescent="0.25"/>
  <cols>
    <col min="1" max="1" width="5.5703125" style="254" customWidth="1"/>
    <col min="2" max="2" width="42.7109375" style="254" customWidth="1"/>
    <col min="3" max="3" width="5.140625" style="254" customWidth="1"/>
    <col min="4" max="4" width="10.140625" style="254" customWidth="1"/>
    <col min="5" max="6" width="10.28515625" style="254" customWidth="1"/>
    <col min="7" max="7" width="9.42578125" style="254" customWidth="1"/>
    <col min="8" max="8" width="10.28515625" style="254" customWidth="1"/>
    <col min="9" max="9" width="12.5703125" style="254" customWidth="1"/>
    <col min="10" max="10" width="10.5703125" style="254" customWidth="1"/>
    <col min="11" max="11" width="11.140625" style="254" customWidth="1"/>
    <col min="12" max="12" width="10.85546875" style="254" customWidth="1"/>
    <col min="13" max="13" width="12.5703125" style="254" customWidth="1"/>
    <col min="14" max="14" width="10.5703125" style="254" customWidth="1"/>
    <col min="15" max="15" width="10.140625" style="254" customWidth="1"/>
    <col min="16" max="17" width="10.85546875" style="254" customWidth="1"/>
    <col min="18" max="258" width="11.42578125" style="254"/>
    <col min="259" max="259" width="5.7109375" style="254" customWidth="1"/>
    <col min="260" max="260" width="24.7109375" style="254" customWidth="1"/>
    <col min="261" max="261" width="3.7109375" style="254" customWidth="1"/>
    <col min="262" max="262" width="9.5703125" style="254" customWidth="1"/>
    <col min="263" max="263" width="7.85546875" style="254" customWidth="1"/>
    <col min="264" max="271" width="10.7109375" style="254" customWidth="1"/>
    <col min="272" max="273" width="0" style="254" hidden="1" customWidth="1"/>
    <col min="274" max="514" width="11.42578125" style="254"/>
    <col min="515" max="515" width="5.7109375" style="254" customWidth="1"/>
    <col min="516" max="516" width="24.7109375" style="254" customWidth="1"/>
    <col min="517" max="517" width="3.7109375" style="254" customWidth="1"/>
    <col min="518" max="518" width="9.5703125" style="254" customWidth="1"/>
    <col min="519" max="519" width="7.85546875" style="254" customWidth="1"/>
    <col min="520" max="527" width="10.7109375" style="254" customWidth="1"/>
    <col min="528" max="529" width="0" style="254" hidden="1" customWidth="1"/>
    <col min="530" max="770" width="11.42578125" style="254"/>
    <col min="771" max="771" width="5.7109375" style="254" customWidth="1"/>
    <col min="772" max="772" width="24.7109375" style="254" customWidth="1"/>
    <col min="773" max="773" width="3.7109375" style="254" customWidth="1"/>
    <col min="774" max="774" width="9.5703125" style="254" customWidth="1"/>
    <col min="775" max="775" width="7.85546875" style="254" customWidth="1"/>
    <col min="776" max="783" width="10.7109375" style="254" customWidth="1"/>
    <col min="784" max="785" width="0" style="254" hidden="1" customWidth="1"/>
    <col min="786" max="1026" width="11.42578125" style="254"/>
    <col min="1027" max="1027" width="5.7109375" style="254" customWidth="1"/>
    <col min="1028" max="1028" width="24.7109375" style="254" customWidth="1"/>
    <col min="1029" max="1029" width="3.7109375" style="254" customWidth="1"/>
    <col min="1030" max="1030" width="9.5703125" style="254" customWidth="1"/>
    <col min="1031" max="1031" width="7.85546875" style="254" customWidth="1"/>
    <col min="1032" max="1039" width="10.7109375" style="254" customWidth="1"/>
    <col min="1040" max="1041" width="0" style="254" hidden="1" customWidth="1"/>
    <col min="1042" max="1282" width="11.42578125" style="254"/>
    <col min="1283" max="1283" width="5.7109375" style="254" customWidth="1"/>
    <col min="1284" max="1284" width="24.7109375" style="254" customWidth="1"/>
    <col min="1285" max="1285" width="3.7109375" style="254" customWidth="1"/>
    <col min="1286" max="1286" width="9.5703125" style="254" customWidth="1"/>
    <col min="1287" max="1287" width="7.85546875" style="254" customWidth="1"/>
    <col min="1288" max="1295" width="10.7109375" style="254" customWidth="1"/>
    <col min="1296" max="1297" width="0" style="254" hidden="1" customWidth="1"/>
    <col min="1298" max="1538" width="11.42578125" style="254"/>
    <col min="1539" max="1539" width="5.7109375" style="254" customWidth="1"/>
    <col min="1540" max="1540" width="24.7109375" style="254" customWidth="1"/>
    <col min="1541" max="1541" width="3.7109375" style="254" customWidth="1"/>
    <col min="1542" max="1542" width="9.5703125" style="254" customWidth="1"/>
    <col min="1543" max="1543" width="7.85546875" style="254" customWidth="1"/>
    <col min="1544" max="1551" width="10.7109375" style="254" customWidth="1"/>
    <col min="1552" max="1553" width="0" style="254" hidden="1" customWidth="1"/>
    <col min="1554" max="1794" width="11.42578125" style="254"/>
    <col min="1795" max="1795" width="5.7109375" style="254" customWidth="1"/>
    <col min="1796" max="1796" width="24.7109375" style="254" customWidth="1"/>
    <col min="1797" max="1797" width="3.7109375" style="254" customWidth="1"/>
    <col min="1798" max="1798" width="9.5703125" style="254" customWidth="1"/>
    <col min="1799" max="1799" width="7.85546875" style="254" customWidth="1"/>
    <col min="1800" max="1807" width="10.7109375" style="254" customWidth="1"/>
    <col min="1808" max="1809" width="0" style="254" hidden="1" customWidth="1"/>
    <col min="1810" max="2050" width="11.42578125" style="254"/>
    <col min="2051" max="2051" width="5.7109375" style="254" customWidth="1"/>
    <col min="2052" max="2052" width="24.7109375" style="254" customWidth="1"/>
    <col min="2053" max="2053" width="3.7109375" style="254" customWidth="1"/>
    <col min="2054" max="2054" width="9.5703125" style="254" customWidth="1"/>
    <col min="2055" max="2055" width="7.85546875" style="254" customWidth="1"/>
    <col min="2056" max="2063" width="10.7109375" style="254" customWidth="1"/>
    <col min="2064" max="2065" width="0" style="254" hidden="1" customWidth="1"/>
    <col min="2066" max="2306" width="11.42578125" style="254"/>
    <col min="2307" max="2307" width="5.7109375" style="254" customWidth="1"/>
    <col min="2308" max="2308" width="24.7109375" style="254" customWidth="1"/>
    <col min="2309" max="2309" width="3.7109375" style="254" customWidth="1"/>
    <col min="2310" max="2310" width="9.5703125" style="254" customWidth="1"/>
    <col min="2311" max="2311" width="7.85546875" style="254" customWidth="1"/>
    <col min="2312" max="2319" width="10.7109375" style="254" customWidth="1"/>
    <col min="2320" max="2321" width="0" style="254" hidden="1" customWidth="1"/>
    <col min="2322" max="2562" width="11.42578125" style="254"/>
    <col min="2563" max="2563" width="5.7109375" style="254" customWidth="1"/>
    <col min="2564" max="2564" width="24.7109375" style="254" customWidth="1"/>
    <col min="2565" max="2565" width="3.7109375" style="254" customWidth="1"/>
    <col min="2566" max="2566" width="9.5703125" style="254" customWidth="1"/>
    <col min="2567" max="2567" width="7.85546875" style="254" customWidth="1"/>
    <col min="2568" max="2575" width="10.7109375" style="254" customWidth="1"/>
    <col min="2576" max="2577" width="0" style="254" hidden="1" customWidth="1"/>
    <col min="2578" max="2818" width="11.42578125" style="254"/>
    <col min="2819" max="2819" width="5.7109375" style="254" customWidth="1"/>
    <col min="2820" max="2820" width="24.7109375" style="254" customWidth="1"/>
    <col min="2821" max="2821" width="3.7109375" style="254" customWidth="1"/>
    <col min="2822" max="2822" width="9.5703125" style="254" customWidth="1"/>
    <col min="2823" max="2823" width="7.85546875" style="254" customWidth="1"/>
    <col min="2824" max="2831" width="10.7109375" style="254" customWidth="1"/>
    <col min="2832" max="2833" width="0" style="254" hidden="1" customWidth="1"/>
    <col min="2834" max="3074" width="11.42578125" style="254"/>
    <col min="3075" max="3075" width="5.7109375" style="254" customWidth="1"/>
    <col min="3076" max="3076" width="24.7109375" style="254" customWidth="1"/>
    <col min="3077" max="3077" width="3.7109375" style="254" customWidth="1"/>
    <col min="3078" max="3078" width="9.5703125" style="254" customWidth="1"/>
    <col min="3079" max="3079" width="7.85546875" style="254" customWidth="1"/>
    <col min="3080" max="3087" width="10.7109375" style="254" customWidth="1"/>
    <col min="3088" max="3089" width="0" style="254" hidden="1" customWidth="1"/>
    <col min="3090" max="3330" width="11.42578125" style="254"/>
    <col min="3331" max="3331" width="5.7109375" style="254" customWidth="1"/>
    <col min="3332" max="3332" width="24.7109375" style="254" customWidth="1"/>
    <col min="3333" max="3333" width="3.7109375" style="254" customWidth="1"/>
    <col min="3334" max="3334" width="9.5703125" style="254" customWidth="1"/>
    <col min="3335" max="3335" width="7.85546875" style="254" customWidth="1"/>
    <col min="3336" max="3343" width="10.7109375" style="254" customWidth="1"/>
    <col min="3344" max="3345" width="0" style="254" hidden="1" customWidth="1"/>
    <col min="3346" max="3586" width="11.42578125" style="254"/>
    <col min="3587" max="3587" width="5.7109375" style="254" customWidth="1"/>
    <col min="3588" max="3588" width="24.7109375" style="254" customWidth="1"/>
    <col min="3589" max="3589" width="3.7109375" style="254" customWidth="1"/>
    <col min="3590" max="3590" width="9.5703125" style="254" customWidth="1"/>
    <col min="3591" max="3591" width="7.85546875" style="254" customWidth="1"/>
    <col min="3592" max="3599" width="10.7109375" style="254" customWidth="1"/>
    <col min="3600" max="3601" width="0" style="254" hidden="1" customWidth="1"/>
    <col min="3602" max="3842" width="11.42578125" style="254"/>
    <col min="3843" max="3843" width="5.7109375" style="254" customWidth="1"/>
    <col min="3844" max="3844" width="24.7109375" style="254" customWidth="1"/>
    <col min="3845" max="3845" width="3.7109375" style="254" customWidth="1"/>
    <col min="3846" max="3846" width="9.5703125" style="254" customWidth="1"/>
    <col min="3847" max="3847" width="7.85546875" style="254" customWidth="1"/>
    <col min="3848" max="3855" width="10.7109375" style="254" customWidth="1"/>
    <col min="3856" max="3857" width="0" style="254" hidden="1" customWidth="1"/>
    <col min="3858" max="4098" width="11.42578125" style="254"/>
    <col min="4099" max="4099" width="5.7109375" style="254" customWidth="1"/>
    <col min="4100" max="4100" width="24.7109375" style="254" customWidth="1"/>
    <col min="4101" max="4101" width="3.7109375" style="254" customWidth="1"/>
    <col min="4102" max="4102" width="9.5703125" style="254" customWidth="1"/>
    <col min="4103" max="4103" width="7.85546875" style="254" customWidth="1"/>
    <col min="4104" max="4111" width="10.7109375" style="254" customWidth="1"/>
    <col min="4112" max="4113" width="0" style="254" hidden="1" customWidth="1"/>
    <col min="4114" max="4354" width="11.42578125" style="254"/>
    <col min="4355" max="4355" width="5.7109375" style="254" customWidth="1"/>
    <col min="4356" max="4356" width="24.7109375" style="254" customWidth="1"/>
    <col min="4357" max="4357" width="3.7109375" style="254" customWidth="1"/>
    <col min="4358" max="4358" width="9.5703125" style="254" customWidth="1"/>
    <col min="4359" max="4359" width="7.85546875" style="254" customWidth="1"/>
    <col min="4360" max="4367" width="10.7109375" style="254" customWidth="1"/>
    <col min="4368" max="4369" width="0" style="254" hidden="1" customWidth="1"/>
    <col min="4370" max="4610" width="11.42578125" style="254"/>
    <col min="4611" max="4611" width="5.7109375" style="254" customWidth="1"/>
    <col min="4612" max="4612" width="24.7109375" style="254" customWidth="1"/>
    <col min="4613" max="4613" width="3.7109375" style="254" customWidth="1"/>
    <col min="4614" max="4614" width="9.5703125" style="254" customWidth="1"/>
    <col min="4615" max="4615" width="7.85546875" style="254" customWidth="1"/>
    <col min="4616" max="4623" width="10.7109375" style="254" customWidth="1"/>
    <col min="4624" max="4625" width="0" style="254" hidden="1" customWidth="1"/>
    <col min="4626" max="4866" width="11.42578125" style="254"/>
    <col min="4867" max="4867" width="5.7109375" style="254" customWidth="1"/>
    <col min="4868" max="4868" width="24.7109375" style="254" customWidth="1"/>
    <col min="4869" max="4869" width="3.7109375" style="254" customWidth="1"/>
    <col min="4870" max="4870" width="9.5703125" style="254" customWidth="1"/>
    <col min="4871" max="4871" width="7.85546875" style="254" customWidth="1"/>
    <col min="4872" max="4879" width="10.7109375" style="254" customWidth="1"/>
    <col min="4880" max="4881" width="0" style="254" hidden="1" customWidth="1"/>
    <col min="4882" max="5122" width="11.42578125" style="254"/>
    <col min="5123" max="5123" width="5.7109375" style="254" customWidth="1"/>
    <col min="5124" max="5124" width="24.7109375" style="254" customWidth="1"/>
    <col min="5125" max="5125" width="3.7109375" style="254" customWidth="1"/>
    <col min="5126" max="5126" width="9.5703125" style="254" customWidth="1"/>
    <col min="5127" max="5127" width="7.85546875" style="254" customWidth="1"/>
    <col min="5128" max="5135" width="10.7109375" style="254" customWidth="1"/>
    <col min="5136" max="5137" width="0" style="254" hidden="1" customWidth="1"/>
    <col min="5138" max="5378" width="11.42578125" style="254"/>
    <col min="5379" max="5379" width="5.7109375" style="254" customWidth="1"/>
    <col min="5380" max="5380" width="24.7109375" style="254" customWidth="1"/>
    <col min="5381" max="5381" width="3.7109375" style="254" customWidth="1"/>
    <col min="5382" max="5382" width="9.5703125" style="254" customWidth="1"/>
    <col min="5383" max="5383" width="7.85546875" style="254" customWidth="1"/>
    <col min="5384" max="5391" width="10.7109375" style="254" customWidth="1"/>
    <col min="5392" max="5393" width="0" style="254" hidden="1" customWidth="1"/>
    <col min="5394" max="5634" width="11.42578125" style="254"/>
    <col min="5635" max="5635" width="5.7109375" style="254" customWidth="1"/>
    <col min="5636" max="5636" width="24.7109375" style="254" customWidth="1"/>
    <col min="5637" max="5637" width="3.7109375" style="254" customWidth="1"/>
    <col min="5638" max="5638" width="9.5703125" style="254" customWidth="1"/>
    <col min="5639" max="5639" width="7.85546875" style="254" customWidth="1"/>
    <col min="5640" max="5647" width="10.7109375" style="254" customWidth="1"/>
    <col min="5648" max="5649" width="0" style="254" hidden="1" customWidth="1"/>
    <col min="5650" max="5890" width="11.42578125" style="254"/>
    <col min="5891" max="5891" width="5.7109375" style="254" customWidth="1"/>
    <col min="5892" max="5892" width="24.7109375" style="254" customWidth="1"/>
    <col min="5893" max="5893" width="3.7109375" style="254" customWidth="1"/>
    <col min="5894" max="5894" width="9.5703125" style="254" customWidth="1"/>
    <col min="5895" max="5895" width="7.85546875" style="254" customWidth="1"/>
    <col min="5896" max="5903" width="10.7109375" style="254" customWidth="1"/>
    <col min="5904" max="5905" width="0" style="254" hidden="1" customWidth="1"/>
    <col min="5906" max="6146" width="11.42578125" style="254"/>
    <col min="6147" max="6147" width="5.7109375" style="254" customWidth="1"/>
    <col min="6148" max="6148" width="24.7109375" style="254" customWidth="1"/>
    <col min="6149" max="6149" width="3.7109375" style="254" customWidth="1"/>
    <col min="6150" max="6150" width="9.5703125" style="254" customWidth="1"/>
    <col min="6151" max="6151" width="7.85546875" style="254" customWidth="1"/>
    <col min="6152" max="6159" width="10.7109375" style="254" customWidth="1"/>
    <col min="6160" max="6161" width="0" style="254" hidden="1" customWidth="1"/>
    <col min="6162" max="6402" width="11.42578125" style="254"/>
    <col min="6403" max="6403" width="5.7109375" style="254" customWidth="1"/>
    <col min="6404" max="6404" width="24.7109375" style="254" customWidth="1"/>
    <col min="6405" max="6405" width="3.7109375" style="254" customWidth="1"/>
    <col min="6406" max="6406" width="9.5703125" style="254" customWidth="1"/>
    <col min="6407" max="6407" width="7.85546875" style="254" customWidth="1"/>
    <col min="6408" max="6415" width="10.7109375" style="254" customWidth="1"/>
    <col min="6416" max="6417" width="0" style="254" hidden="1" customWidth="1"/>
    <col min="6418" max="6658" width="11.42578125" style="254"/>
    <col min="6659" max="6659" width="5.7109375" style="254" customWidth="1"/>
    <col min="6660" max="6660" width="24.7109375" style="254" customWidth="1"/>
    <col min="6661" max="6661" width="3.7109375" style="254" customWidth="1"/>
    <col min="6662" max="6662" width="9.5703125" style="254" customWidth="1"/>
    <col min="6663" max="6663" width="7.85546875" style="254" customWidth="1"/>
    <col min="6664" max="6671" width="10.7109375" style="254" customWidth="1"/>
    <col min="6672" max="6673" width="0" style="254" hidden="1" customWidth="1"/>
    <col min="6674" max="6914" width="11.42578125" style="254"/>
    <col min="6915" max="6915" width="5.7109375" style="254" customWidth="1"/>
    <col min="6916" max="6916" width="24.7109375" style="254" customWidth="1"/>
    <col min="6917" max="6917" width="3.7109375" style="254" customWidth="1"/>
    <col min="6918" max="6918" width="9.5703125" style="254" customWidth="1"/>
    <col min="6919" max="6919" width="7.85546875" style="254" customWidth="1"/>
    <col min="6920" max="6927" width="10.7109375" style="254" customWidth="1"/>
    <col min="6928" max="6929" width="0" style="254" hidden="1" customWidth="1"/>
    <col min="6930" max="7170" width="11.42578125" style="254"/>
    <col min="7171" max="7171" width="5.7109375" style="254" customWidth="1"/>
    <col min="7172" max="7172" width="24.7109375" style="254" customWidth="1"/>
    <col min="7173" max="7173" width="3.7109375" style="254" customWidth="1"/>
    <col min="7174" max="7174" width="9.5703125" style="254" customWidth="1"/>
    <col min="7175" max="7175" width="7.85546875" style="254" customWidth="1"/>
    <col min="7176" max="7183" width="10.7109375" style="254" customWidth="1"/>
    <col min="7184" max="7185" width="0" style="254" hidden="1" customWidth="1"/>
    <col min="7186" max="7426" width="11.42578125" style="254"/>
    <col min="7427" max="7427" width="5.7109375" style="254" customWidth="1"/>
    <col min="7428" max="7428" width="24.7109375" style="254" customWidth="1"/>
    <col min="7429" max="7429" width="3.7109375" style="254" customWidth="1"/>
    <col min="7430" max="7430" width="9.5703125" style="254" customWidth="1"/>
    <col min="7431" max="7431" width="7.85546875" style="254" customWidth="1"/>
    <col min="7432" max="7439" width="10.7109375" style="254" customWidth="1"/>
    <col min="7440" max="7441" width="0" style="254" hidden="1" customWidth="1"/>
    <col min="7442" max="7682" width="11.42578125" style="254"/>
    <col min="7683" max="7683" width="5.7109375" style="254" customWidth="1"/>
    <col min="7684" max="7684" width="24.7109375" style="254" customWidth="1"/>
    <col min="7685" max="7685" width="3.7109375" style="254" customWidth="1"/>
    <col min="7686" max="7686" width="9.5703125" style="254" customWidth="1"/>
    <col min="7687" max="7687" width="7.85546875" style="254" customWidth="1"/>
    <col min="7688" max="7695" width="10.7109375" style="254" customWidth="1"/>
    <col min="7696" max="7697" width="0" style="254" hidden="1" customWidth="1"/>
    <col min="7698" max="7938" width="11.42578125" style="254"/>
    <col min="7939" max="7939" width="5.7109375" style="254" customWidth="1"/>
    <col min="7940" max="7940" width="24.7109375" style="254" customWidth="1"/>
    <col min="7941" max="7941" width="3.7109375" style="254" customWidth="1"/>
    <col min="7942" max="7942" width="9.5703125" style="254" customWidth="1"/>
    <col min="7943" max="7943" width="7.85546875" style="254" customWidth="1"/>
    <col min="7944" max="7951" width="10.7109375" style="254" customWidth="1"/>
    <col min="7952" max="7953" width="0" style="254" hidden="1" customWidth="1"/>
    <col min="7954" max="8194" width="11.42578125" style="254"/>
    <col min="8195" max="8195" width="5.7109375" style="254" customWidth="1"/>
    <col min="8196" max="8196" width="24.7109375" style="254" customWidth="1"/>
    <col min="8197" max="8197" width="3.7109375" style="254" customWidth="1"/>
    <col min="8198" max="8198" width="9.5703125" style="254" customWidth="1"/>
    <col min="8199" max="8199" width="7.85546875" style="254" customWidth="1"/>
    <col min="8200" max="8207" width="10.7109375" style="254" customWidth="1"/>
    <col min="8208" max="8209" width="0" style="254" hidden="1" customWidth="1"/>
    <col min="8210" max="8450" width="11.42578125" style="254"/>
    <col min="8451" max="8451" width="5.7109375" style="254" customWidth="1"/>
    <col min="8452" max="8452" width="24.7109375" style="254" customWidth="1"/>
    <col min="8453" max="8453" width="3.7109375" style="254" customWidth="1"/>
    <col min="8454" max="8454" width="9.5703125" style="254" customWidth="1"/>
    <col min="8455" max="8455" width="7.85546875" style="254" customWidth="1"/>
    <col min="8456" max="8463" width="10.7109375" style="254" customWidth="1"/>
    <col min="8464" max="8465" width="0" style="254" hidden="1" customWidth="1"/>
    <col min="8466" max="8706" width="11.42578125" style="254"/>
    <col min="8707" max="8707" width="5.7109375" style="254" customWidth="1"/>
    <col min="8708" max="8708" width="24.7109375" style="254" customWidth="1"/>
    <col min="8709" max="8709" width="3.7109375" style="254" customWidth="1"/>
    <col min="8710" max="8710" width="9.5703125" style="254" customWidth="1"/>
    <col min="8711" max="8711" width="7.85546875" style="254" customWidth="1"/>
    <col min="8712" max="8719" width="10.7109375" style="254" customWidth="1"/>
    <col min="8720" max="8721" width="0" style="254" hidden="1" customWidth="1"/>
    <col min="8722" max="8962" width="11.42578125" style="254"/>
    <col min="8963" max="8963" width="5.7109375" style="254" customWidth="1"/>
    <col min="8964" max="8964" width="24.7109375" style="254" customWidth="1"/>
    <col min="8965" max="8965" width="3.7109375" style="254" customWidth="1"/>
    <col min="8966" max="8966" width="9.5703125" style="254" customWidth="1"/>
    <col min="8967" max="8967" width="7.85546875" style="254" customWidth="1"/>
    <col min="8968" max="8975" width="10.7109375" style="254" customWidth="1"/>
    <col min="8976" max="8977" width="0" style="254" hidden="1" customWidth="1"/>
    <col min="8978" max="9218" width="11.42578125" style="254"/>
    <col min="9219" max="9219" width="5.7109375" style="254" customWidth="1"/>
    <col min="9220" max="9220" width="24.7109375" style="254" customWidth="1"/>
    <col min="9221" max="9221" width="3.7109375" style="254" customWidth="1"/>
    <col min="9222" max="9222" width="9.5703125" style="254" customWidth="1"/>
    <col min="9223" max="9223" width="7.85546875" style="254" customWidth="1"/>
    <col min="9224" max="9231" width="10.7109375" style="254" customWidth="1"/>
    <col min="9232" max="9233" width="0" style="254" hidden="1" customWidth="1"/>
    <col min="9234" max="9474" width="11.42578125" style="254"/>
    <col min="9475" max="9475" width="5.7109375" style="254" customWidth="1"/>
    <col min="9476" max="9476" width="24.7109375" style="254" customWidth="1"/>
    <col min="9477" max="9477" width="3.7109375" style="254" customWidth="1"/>
    <col min="9478" max="9478" width="9.5703125" style="254" customWidth="1"/>
    <col min="9479" max="9479" width="7.85546875" style="254" customWidth="1"/>
    <col min="9480" max="9487" width="10.7109375" style="254" customWidth="1"/>
    <col min="9488" max="9489" width="0" style="254" hidden="1" customWidth="1"/>
    <col min="9490" max="9730" width="11.42578125" style="254"/>
    <col min="9731" max="9731" width="5.7109375" style="254" customWidth="1"/>
    <col min="9732" max="9732" width="24.7109375" style="254" customWidth="1"/>
    <col min="9733" max="9733" width="3.7109375" style="254" customWidth="1"/>
    <col min="9734" max="9734" width="9.5703125" style="254" customWidth="1"/>
    <col min="9735" max="9735" width="7.85546875" style="254" customWidth="1"/>
    <col min="9736" max="9743" width="10.7109375" style="254" customWidth="1"/>
    <col min="9744" max="9745" width="0" style="254" hidden="1" customWidth="1"/>
    <col min="9746" max="9986" width="11.42578125" style="254"/>
    <col min="9987" max="9987" width="5.7109375" style="254" customWidth="1"/>
    <col min="9988" max="9988" width="24.7109375" style="254" customWidth="1"/>
    <col min="9989" max="9989" width="3.7109375" style="254" customWidth="1"/>
    <col min="9990" max="9990" width="9.5703125" style="254" customWidth="1"/>
    <col min="9991" max="9991" width="7.85546875" style="254" customWidth="1"/>
    <col min="9992" max="9999" width="10.7109375" style="254" customWidth="1"/>
    <col min="10000" max="10001" width="0" style="254" hidden="1" customWidth="1"/>
    <col min="10002" max="10242" width="11.42578125" style="254"/>
    <col min="10243" max="10243" width="5.7109375" style="254" customWidth="1"/>
    <col min="10244" max="10244" width="24.7109375" style="254" customWidth="1"/>
    <col min="10245" max="10245" width="3.7109375" style="254" customWidth="1"/>
    <col min="10246" max="10246" width="9.5703125" style="254" customWidth="1"/>
    <col min="10247" max="10247" width="7.85546875" style="254" customWidth="1"/>
    <col min="10248" max="10255" width="10.7109375" style="254" customWidth="1"/>
    <col min="10256" max="10257" width="0" style="254" hidden="1" customWidth="1"/>
    <col min="10258" max="10498" width="11.42578125" style="254"/>
    <col min="10499" max="10499" width="5.7109375" style="254" customWidth="1"/>
    <col min="10500" max="10500" width="24.7109375" style="254" customWidth="1"/>
    <col min="10501" max="10501" width="3.7109375" style="254" customWidth="1"/>
    <col min="10502" max="10502" width="9.5703125" style="254" customWidth="1"/>
    <col min="10503" max="10503" width="7.85546875" style="254" customWidth="1"/>
    <col min="10504" max="10511" width="10.7109375" style="254" customWidth="1"/>
    <col min="10512" max="10513" width="0" style="254" hidden="1" customWidth="1"/>
    <col min="10514" max="10754" width="11.42578125" style="254"/>
    <col min="10755" max="10755" width="5.7109375" style="254" customWidth="1"/>
    <col min="10756" max="10756" width="24.7109375" style="254" customWidth="1"/>
    <col min="10757" max="10757" width="3.7109375" style="254" customWidth="1"/>
    <col min="10758" max="10758" width="9.5703125" style="254" customWidth="1"/>
    <col min="10759" max="10759" width="7.85546875" style="254" customWidth="1"/>
    <col min="10760" max="10767" width="10.7109375" style="254" customWidth="1"/>
    <col min="10768" max="10769" width="0" style="254" hidden="1" customWidth="1"/>
    <col min="10770" max="11010" width="11.42578125" style="254"/>
    <col min="11011" max="11011" width="5.7109375" style="254" customWidth="1"/>
    <col min="11012" max="11012" width="24.7109375" style="254" customWidth="1"/>
    <col min="11013" max="11013" width="3.7109375" style="254" customWidth="1"/>
    <col min="11014" max="11014" width="9.5703125" style="254" customWidth="1"/>
    <col min="11015" max="11015" width="7.85546875" style="254" customWidth="1"/>
    <col min="11016" max="11023" width="10.7109375" style="254" customWidth="1"/>
    <col min="11024" max="11025" width="0" style="254" hidden="1" customWidth="1"/>
    <col min="11026" max="11266" width="11.42578125" style="254"/>
    <col min="11267" max="11267" width="5.7109375" style="254" customWidth="1"/>
    <col min="11268" max="11268" width="24.7109375" style="254" customWidth="1"/>
    <col min="11269" max="11269" width="3.7109375" style="254" customWidth="1"/>
    <col min="11270" max="11270" width="9.5703125" style="254" customWidth="1"/>
    <col min="11271" max="11271" width="7.85546875" style="254" customWidth="1"/>
    <col min="11272" max="11279" width="10.7109375" style="254" customWidth="1"/>
    <col min="11280" max="11281" width="0" style="254" hidden="1" customWidth="1"/>
    <col min="11282" max="11522" width="11.42578125" style="254"/>
    <col min="11523" max="11523" width="5.7109375" style="254" customWidth="1"/>
    <col min="11524" max="11524" width="24.7109375" style="254" customWidth="1"/>
    <col min="11525" max="11525" width="3.7109375" style="254" customWidth="1"/>
    <col min="11526" max="11526" width="9.5703125" style="254" customWidth="1"/>
    <col min="11527" max="11527" width="7.85546875" style="254" customWidth="1"/>
    <col min="11528" max="11535" width="10.7109375" style="254" customWidth="1"/>
    <col min="11536" max="11537" width="0" style="254" hidden="1" customWidth="1"/>
    <col min="11538" max="11778" width="11.42578125" style="254"/>
    <col min="11779" max="11779" width="5.7109375" style="254" customWidth="1"/>
    <col min="11780" max="11780" width="24.7109375" style="254" customWidth="1"/>
    <col min="11781" max="11781" width="3.7109375" style="254" customWidth="1"/>
    <col min="11782" max="11782" width="9.5703125" style="254" customWidth="1"/>
    <col min="11783" max="11783" width="7.85546875" style="254" customWidth="1"/>
    <col min="11784" max="11791" width="10.7109375" style="254" customWidth="1"/>
    <col min="11792" max="11793" width="0" style="254" hidden="1" customWidth="1"/>
    <col min="11794" max="12034" width="11.42578125" style="254"/>
    <col min="12035" max="12035" width="5.7109375" style="254" customWidth="1"/>
    <col min="12036" max="12036" width="24.7109375" style="254" customWidth="1"/>
    <col min="12037" max="12037" width="3.7109375" style="254" customWidth="1"/>
    <col min="12038" max="12038" width="9.5703125" style="254" customWidth="1"/>
    <col min="12039" max="12039" width="7.85546875" style="254" customWidth="1"/>
    <col min="12040" max="12047" width="10.7109375" style="254" customWidth="1"/>
    <col min="12048" max="12049" width="0" style="254" hidden="1" customWidth="1"/>
    <col min="12050" max="12290" width="11.42578125" style="254"/>
    <col min="12291" max="12291" width="5.7109375" style="254" customWidth="1"/>
    <col min="12292" max="12292" width="24.7109375" style="254" customWidth="1"/>
    <col min="12293" max="12293" width="3.7109375" style="254" customWidth="1"/>
    <col min="12294" max="12294" width="9.5703125" style="254" customWidth="1"/>
    <col min="12295" max="12295" width="7.85546875" style="254" customWidth="1"/>
    <col min="12296" max="12303" width="10.7109375" style="254" customWidth="1"/>
    <col min="12304" max="12305" width="0" style="254" hidden="1" customWidth="1"/>
    <col min="12306" max="12546" width="11.42578125" style="254"/>
    <col min="12547" max="12547" width="5.7109375" style="254" customWidth="1"/>
    <col min="12548" max="12548" width="24.7109375" style="254" customWidth="1"/>
    <col min="12549" max="12549" width="3.7109375" style="254" customWidth="1"/>
    <col min="12550" max="12550" width="9.5703125" style="254" customWidth="1"/>
    <col min="12551" max="12551" width="7.85546875" style="254" customWidth="1"/>
    <col min="12552" max="12559" width="10.7109375" style="254" customWidth="1"/>
    <col min="12560" max="12561" width="0" style="254" hidden="1" customWidth="1"/>
    <col min="12562" max="12802" width="11.42578125" style="254"/>
    <col min="12803" max="12803" width="5.7109375" style="254" customWidth="1"/>
    <col min="12804" max="12804" width="24.7109375" style="254" customWidth="1"/>
    <col min="12805" max="12805" width="3.7109375" style="254" customWidth="1"/>
    <col min="12806" max="12806" width="9.5703125" style="254" customWidth="1"/>
    <col min="12807" max="12807" width="7.85546875" style="254" customWidth="1"/>
    <col min="12808" max="12815" width="10.7109375" style="254" customWidth="1"/>
    <col min="12816" max="12817" width="0" style="254" hidden="1" customWidth="1"/>
    <col min="12818" max="13058" width="11.42578125" style="254"/>
    <col min="13059" max="13059" width="5.7109375" style="254" customWidth="1"/>
    <col min="13060" max="13060" width="24.7109375" style="254" customWidth="1"/>
    <col min="13061" max="13061" width="3.7109375" style="254" customWidth="1"/>
    <col min="13062" max="13062" width="9.5703125" style="254" customWidth="1"/>
    <col min="13063" max="13063" width="7.85546875" style="254" customWidth="1"/>
    <col min="13064" max="13071" width="10.7109375" style="254" customWidth="1"/>
    <col min="13072" max="13073" width="0" style="254" hidden="1" customWidth="1"/>
    <col min="13074" max="13314" width="11.42578125" style="254"/>
    <col min="13315" max="13315" width="5.7109375" style="254" customWidth="1"/>
    <col min="13316" max="13316" width="24.7109375" style="254" customWidth="1"/>
    <col min="13317" max="13317" width="3.7109375" style="254" customWidth="1"/>
    <col min="13318" max="13318" width="9.5703125" style="254" customWidth="1"/>
    <col min="13319" max="13319" width="7.85546875" style="254" customWidth="1"/>
    <col min="13320" max="13327" width="10.7109375" style="254" customWidth="1"/>
    <col min="13328" max="13329" width="0" style="254" hidden="1" customWidth="1"/>
    <col min="13330" max="13570" width="11.42578125" style="254"/>
    <col min="13571" max="13571" width="5.7109375" style="254" customWidth="1"/>
    <col min="13572" max="13572" width="24.7109375" style="254" customWidth="1"/>
    <col min="13573" max="13573" width="3.7109375" style="254" customWidth="1"/>
    <col min="13574" max="13574" width="9.5703125" style="254" customWidth="1"/>
    <col min="13575" max="13575" width="7.85546875" style="254" customWidth="1"/>
    <col min="13576" max="13583" width="10.7109375" style="254" customWidth="1"/>
    <col min="13584" max="13585" width="0" style="254" hidden="1" customWidth="1"/>
    <col min="13586" max="13826" width="11.42578125" style="254"/>
    <col min="13827" max="13827" width="5.7109375" style="254" customWidth="1"/>
    <col min="13828" max="13828" width="24.7109375" style="254" customWidth="1"/>
    <col min="13829" max="13829" width="3.7109375" style="254" customWidth="1"/>
    <col min="13830" max="13830" width="9.5703125" style="254" customWidth="1"/>
    <col min="13831" max="13831" width="7.85546875" style="254" customWidth="1"/>
    <col min="13832" max="13839" width="10.7109375" style="254" customWidth="1"/>
    <col min="13840" max="13841" width="0" style="254" hidden="1" customWidth="1"/>
    <col min="13842" max="14082" width="11.42578125" style="254"/>
    <col min="14083" max="14083" width="5.7109375" style="254" customWidth="1"/>
    <col min="14084" max="14084" width="24.7109375" style="254" customWidth="1"/>
    <col min="14085" max="14085" width="3.7109375" style="254" customWidth="1"/>
    <col min="14086" max="14086" width="9.5703125" style="254" customWidth="1"/>
    <col min="14087" max="14087" width="7.85546875" style="254" customWidth="1"/>
    <col min="14088" max="14095" width="10.7109375" style="254" customWidth="1"/>
    <col min="14096" max="14097" width="0" style="254" hidden="1" customWidth="1"/>
    <col min="14098" max="14338" width="11.42578125" style="254"/>
    <col min="14339" max="14339" width="5.7109375" style="254" customWidth="1"/>
    <col min="14340" max="14340" width="24.7109375" style="254" customWidth="1"/>
    <col min="14341" max="14341" width="3.7109375" style="254" customWidth="1"/>
    <col min="14342" max="14342" width="9.5703125" style="254" customWidth="1"/>
    <col min="14343" max="14343" width="7.85546875" style="254" customWidth="1"/>
    <col min="14344" max="14351" width="10.7109375" style="254" customWidth="1"/>
    <col min="14352" max="14353" width="0" style="254" hidden="1" customWidth="1"/>
    <col min="14354" max="14594" width="11.42578125" style="254"/>
    <col min="14595" max="14595" width="5.7109375" style="254" customWidth="1"/>
    <col min="14596" max="14596" width="24.7109375" style="254" customWidth="1"/>
    <col min="14597" max="14597" width="3.7109375" style="254" customWidth="1"/>
    <col min="14598" max="14598" width="9.5703125" style="254" customWidth="1"/>
    <col min="14599" max="14599" width="7.85546875" style="254" customWidth="1"/>
    <col min="14600" max="14607" width="10.7109375" style="254" customWidth="1"/>
    <col min="14608" max="14609" width="0" style="254" hidden="1" customWidth="1"/>
    <col min="14610" max="14850" width="11.42578125" style="254"/>
    <col min="14851" max="14851" width="5.7109375" style="254" customWidth="1"/>
    <col min="14852" max="14852" width="24.7109375" style="254" customWidth="1"/>
    <col min="14853" max="14853" width="3.7109375" style="254" customWidth="1"/>
    <col min="14854" max="14854" width="9.5703125" style="254" customWidth="1"/>
    <col min="14855" max="14855" width="7.85546875" style="254" customWidth="1"/>
    <col min="14856" max="14863" width="10.7109375" style="254" customWidth="1"/>
    <col min="14864" max="14865" width="0" style="254" hidden="1" customWidth="1"/>
    <col min="14866" max="15106" width="11.42578125" style="254"/>
    <col min="15107" max="15107" width="5.7109375" style="254" customWidth="1"/>
    <col min="15108" max="15108" width="24.7109375" style="254" customWidth="1"/>
    <col min="15109" max="15109" width="3.7109375" style="254" customWidth="1"/>
    <col min="15110" max="15110" width="9.5703125" style="254" customWidth="1"/>
    <col min="15111" max="15111" width="7.85546875" style="254" customWidth="1"/>
    <col min="15112" max="15119" width="10.7109375" style="254" customWidth="1"/>
    <col min="15120" max="15121" width="0" style="254" hidden="1" customWidth="1"/>
    <col min="15122" max="15362" width="11.42578125" style="254"/>
    <col min="15363" max="15363" width="5.7109375" style="254" customWidth="1"/>
    <col min="15364" max="15364" width="24.7109375" style="254" customWidth="1"/>
    <col min="15365" max="15365" width="3.7109375" style="254" customWidth="1"/>
    <col min="15366" max="15366" width="9.5703125" style="254" customWidth="1"/>
    <col min="15367" max="15367" width="7.85546875" style="254" customWidth="1"/>
    <col min="15368" max="15375" width="10.7109375" style="254" customWidth="1"/>
    <col min="15376" max="15377" width="0" style="254" hidden="1" customWidth="1"/>
    <col min="15378" max="15618" width="11.42578125" style="254"/>
    <col min="15619" max="15619" width="5.7109375" style="254" customWidth="1"/>
    <col min="15620" max="15620" width="24.7109375" style="254" customWidth="1"/>
    <col min="15621" max="15621" width="3.7109375" style="254" customWidth="1"/>
    <col min="15622" max="15622" width="9.5703125" style="254" customWidth="1"/>
    <col min="15623" max="15623" width="7.85546875" style="254" customWidth="1"/>
    <col min="15624" max="15631" width="10.7109375" style="254" customWidth="1"/>
    <col min="15632" max="15633" width="0" style="254" hidden="1" customWidth="1"/>
    <col min="15634" max="15874" width="11.42578125" style="254"/>
    <col min="15875" max="15875" width="5.7109375" style="254" customWidth="1"/>
    <col min="15876" max="15876" width="24.7109375" style="254" customWidth="1"/>
    <col min="15877" max="15877" width="3.7109375" style="254" customWidth="1"/>
    <col min="15878" max="15878" width="9.5703125" style="254" customWidth="1"/>
    <col min="15879" max="15879" width="7.85546875" style="254" customWidth="1"/>
    <col min="15880" max="15887" width="10.7109375" style="254" customWidth="1"/>
    <col min="15888" max="15889" width="0" style="254" hidden="1" customWidth="1"/>
    <col min="15890" max="16130" width="11.42578125" style="254"/>
    <col min="16131" max="16131" width="5.7109375" style="254" customWidth="1"/>
    <col min="16132" max="16132" width="24.7109375" style="254" customWidth="1"/>
    <col min="16133" max="16133" width="3.7109375" style="254" customWidth="1"/>
    <col min="16134" max="16134" width="9.5703125" style="254" customWidth="1"/>
    <col min="16135" max="16135" width="7.85546875" style="254" customWidth="1"/>
    <col min="16136" max="16143" width="10.7109375" style="254" customWidth="1"/>
    <col min="16144" max="16145" width="0" style="254" hidden="1" customWidth="1"/>
    <col min="16146" max="16384" width="11.42578125" style="254"/>
  </cols>
  <sheetData>
    <row r="1" spans="1:18" ht="18" customHeight="1" thickTop="1" thickBot="1" x14ac:dyDescent="0.3">
      <c r="A1" s="671" t="s">
        <v>523</v>
      </c>
      <c r="B1" s="672"/>
      <c r="C1" s="1428">
        <f>'(C.H.M) MAIN D''OEUVRE'!C2</f>
        <v>1</v>
      </c>
      <c r="D1" s="1428"/>
      <c r="E1" s="1428"/>
      <c r="F1" s="1428"/>
      <c r="G1" s="1428"/>
      <c r="H1" s="1428"/>
      <c r="I1" s="1428"/>
      <c r="J1" s="1428"/>
      <c r="K1" s="1428"/>
      <c r="L1" s="1428"/>
      <c r="M1" s="1429"/>
      <c r="N1" s="1430" t="s">
        <v>57</v>
      </c>
      <c r="O1" s="1430"/>
      <c r="P1" s="1431">
        <f ca="1">TODAY()</f>
        <v>46093</v>
      </c>
      <c r="Q1" s="1432"/>
    </row>
    <row r="2" spans="1:18" s="256" customFormat="1" ht="18" customHeight="1" thickTop="1" thickBot="1" x14ac:dyDescent="0.3">
      <c r="A2" s="1368" t="s">
        <v>664</v>
      </c>
      <c r="B2" s="1433"/>
      <c r="C2" s="1434">
        <v>0</v>
      </c>
      <c r="D2" s="1435"/>
      <c r="E2" s="258"/>
      <c r="F2" s="255"/>
      <c r="G2" s="255"/>
      <c r="H2" s="255"/>
      <c r="I2" s="255"/>
      <c r="J2" s="255"/>
      <c r="K2" s="266"/>
      <c r="L2" s="259"/>
      <c r="M2" s="1146" t="s">
        <v>634</v>
      </c>
      <c r="N2" s="1146"/>
      <c r="O2" s="1146"/>
      <c r="P2" s="1436">
        <f>L55</f>
        <v>1</v>
      </c>
      <c r="Q2" s="1437"/>
    </row>
    <row r="3" spans="1:18" ht="20.100000000000001" customHeight="1" thickTop="1" thickBot="1" x14ac:dyDescent="0.3">
      <c r="A3" s="1438" t="s">
        <v>652</v>
      </c>
      <c r="B3" s="1440" t="s">
        <v>52</v>
      </c>
      <c r="C3" s="1440" t="s">
        <v>3</v>
      </c>
      <c r="D3" s="1442" t="s">
        <v>334</v>
      </c>
      <c r="E3" s="1443" t="s">
        <v>1108</v>
      </c>
      <c r="F3" s="1444"/>
      <c r="G3" s="1443" t="s">
        <v>1109</v>
      </c>
      <c r="H3" s="1444"/>
      <c r="I3" s="1440" t="s">
        <v>655</v>
      </c>
      <c r="J3" s="1440" t="s">
        <v>656</v>
      </c>
      <c r="K3" s="1445" t="s">
        <v>657</v>
      </c>
      <c r="L3" s="1445" t="s">
        <v>658</v>
      </c>
      <c r="M3" s="1453" t="s">
        <v>659</v>
      </c>
      <c r="N3" s="1445" t="s">
        <v>660</v>
      </c>
      <c r="O3" s="1445" t="s">
        <v>661</v>
      </c>
      <c r="P3" s="1447" t="s">
        <v>638</v>
      </c>
      <c r="Q3" s="1448"/>
    </row>
    <row r="4" spans="1:18" ht="51.75" customHeight="1" thickTop="1" thickBot="1" x14ac:dyDescent="0.3">
      <c r="A4" s="1439"/>
      <c r="B4" s="1441"/>
      <c r="C4" s="1441"/>
      <c r="D4" s="1441"/>
      <c r="E4" s="699" t="s">
        <v>653</v>
      </c>
      <c r="F4" s="696" t="s">
        <v>654</v>
      </c>
      <c r="G4" s="697" t="s">
        <v>653</v>
      </c>
      <c r="H4" s="696" t="s">
        <v>654</v>
      </c>
      <c r="I4" s="1441"/>
      <c r="J4" s="1441"/>
      <c r="K4" s="1446"/>
      <c r="L4" s="1446"/>
      <c r="M4" s="1454"/>
      <c r="N4" s="1446"/>
      <c r="O4" s="1446"/>
      <c r="P4" s="698" t="s">
        <v>644</v>
      </c>
      <c r="Q4" s="729" t="s">
        <v>107</v>
      </c>
    </row>
    <row r="5" spans="1:18" ht="17.25" thickTop="1" thickBot="1" x14ac:dyDescent="0.3">
      <c r="A5" s="732"/>
      <c r="B5" s="728"/>
      <c r="C5" s="728"/>
      <c r="D5" s="733">
        <v>1</v>
      </c>
      <c r="E5" s="733">
        <v>2</v>
      </c>
      <c r="F5" s="734" t="s">
        <v>1128</v>
      </c>
      <c r="G5" s="733">
        <v>4</v>
      </c>
      <c r="H5" s="733" t="s">
        <v>1129</v>
      </c>
      <c r="I5" s="733" t="s">
        <v>1131</v>
      </c>
      <c r="J5" s="734" t="s">
        <v>1130</v>
      </c>
      <c r="K5" s="734" t="s">
        <v>1132</v>
      </c>
      <c r="L5" s="734" t="s">
        <v>1133</v>
      </c>
      <c r="M5" s="735" t="s">
        <v>1134</v>
      </c>
      <c r="N5" s="736" t="s">
        <v>1135</v>
      </c>
      <c r="O5" s="734" t="s">
        <v>1136</v>
      </c>
      <c r="P5" s="734" t="s">
        <v>1127</v>
      </c>
      <c r="Q5" s="734" t="s">
        <v>1126</v>
      </c>
    </row>
    <row r="6" spans="1:18" ht="17.45" customHeight="1" thickTop="1" x14ac:dyDescent="0.25">
      <c r="A6" s="730" t="s">
        <v>20</v>
      </c>
      <c r="B6" s="683"/>
      <c r="C6" s="731"/>
      <c r="D6" s="265"/>
      <c r="E6" s="265">
        <v>0</v>
      </c>
      <c r="F6" s="673">
        <f t="shared" ref="F6:H21" si="0">ROUND(E6*$C$2,2)</f>
        <v>0</v>
      </c>
      <c r="G6" s="674"/>
      <c r="H6" s="673">
        <f t="shared" si="0"/>
        <v>0</v>
      </c>
      <c r="I6" s="265"/>
      <c r="J6" s="265"/>
      <c r="K6" s="675">
        <f>F6+H6+I6+J6</f>
        <v>0</v>
      </c>
      <c r="L6" s="675">
        <f t="shared" ref="L6:L37" si="1">ROUND(K6*D6,2)</f>
        <v>0</v>
      </c>
      <c r="M6" s="675">
        <f t="shared" ref="M6:M37" si="2">ROUND(I6*D6,2)</f>
        <v>0</v>
      </c>
      <c r="N6" s="675">
        <f t="shared" ref="N6:N37" si="3">ROUND(J6*D6,2)</f>
        <v>0</v>
      </c>
      <c r="O6" s="675">
        <f>ROUND(D6*(E6+G6),2)</f>
        <v>0</v>
      </c>
      <c r="P6" s="676">
        <f>ROUND(K6*$P$2,2)</f>
        <v>0</v>
      </c>
      <c r="Q6" s="677">
        <f>ROUND(P6*D6,2)</f>
        <v>0</v>
      </c>
    </row>
    <row r="7" spans="1:18" ht="17.45" customHeight="1" x14ac:dyDescent="0.25">
      <c r="A7" s="273" t="s">
        <v>648</v>
      </c>
      <c r="B7" s="678"/>
      <c r="C7" s="274"/>
      <c r="D7" s="674"/>
      <c r="E7" s="265">
        <v>0</v>
      </c>
      <c r="F7" s="673">
        <f t="shared" si="0"/>
        <v>0</v>
      </c>
      <c r="G7" s="674"/>
      <c r="H7" s="673">
        <f t="shared" si="0"/>
        <v>0</v>
      </c>
      <c r="I7" s="265"/>
      <c r="J7" s="265"/>
      <c r="K7" s="675">
        <f t="shared" ref="K7:K37" si="4">F7+H7+I7+J7</f>
        <v>0</v>
      </c>
      <c r="L7" s="675">
        <f t="shared" si="1"/>
        <v>0</v>
      </c>
      <c r="M7" s="675">
        <f t="shared" si="2"/>
        <v>0</v>
      </c>
      <c r="N7" s="675">
        <f t="shared" si="3"/>
        <v>0</v>
      </c>
      <c r="O7" s="675">
        <f t="shared" ref="O7:O37" si="5">ROUND(D7*(E7+G7),2)</f>
        <v>0</v>
      </c>
      <c r="P7" s="676">
        <f>ROUND(K7*$P$2,2)</f>
        <v>0</v>
      </c>
      <c r="Q7" s="677">
        <f>ROUND(P7*D7,2)</f>
        <v>0</v>
      </c>
    </row>
    <row r="8" spans="1:18" ht="17.45" customHeight="1" x14ac:dyDescent="0.25">
      <c r="A8" s="273" t="s">
        <v>649</v>
      </c>
      <c r="B8" s="678"/>
      <c r="C8" s="274"/>
      <c r="D8" s="674"/>
      <c r="E8" s="265">
        <v>0</v>
      </c>
      <c r="F8" s="673">
        <f t="shared" si="0"/>
        <v>0</v>
      </c>
      <c r="G8" s="674"/>
      <c r="H8" s="673">
        <f t="shared" si="0"/>
        <v>0</v>
      </c>
      <c r="I8" s="265"/>
      <c r="J8" s="265"/>
      <c r="K8" s="675">
        <f t="shared" si="4"/>
        <v>0</v>
      </c>
      <c r="L8" s="675">
        <f t="shared" si="1"/>
        <v>0</v>
      </c>
      <c r="M8" s="675">
        <f t="shared" si="2"/>
        <v>0</v>
      </c>
      <c r="N8" s="675">
        <f t="shared" si="3"/>
        <v>0</v>
      </c>
      <c r="O8" s="675">
        <f t="shared" si="5"/>
        <v>0</v>
      </c>
      <c r="P8" s="676">
        <f>ROUND(K8*$P$2,2)</f>
        <v>0</v>
      </c>
      <c r="Q8" s="677">
        <f>ROUND(P8*D8,2)</f>
        <v>0</v>
      </c>
    </row>
    <row r="9" spans="1:18" ht="17.45" customHeight="1" x14ac:dyDescent="0.25">
      <c r="A9" s="273" t="s">
        <v>650</v>
      </c>
      <c r="B9" s="678"/>
      <c r="C9" s="274"/>
      <c r="D9" s="674"/>
      <c r="E9" s="265">
        <v>0</v>
      </c>
      <c r="F9" s="673">
        <f t="shared" si="0"/>
        <v>0</v>
      </c>
      <c r="G9" s="674"/>
      <c r="H9" s="673">
        <f t="shared" si="0"/>
        <v>0</v>
      </c>
      <c r="I9" s="265"/>
      <c r="J9" s="265"/>
      <c r="K9" s="675">
        <f t="shared" si="4"/>
        <v>0</v>
      </c>
      <c r="L9" s="675">
        <f t="shared" si="1"/>
        <v>0</v>
      </c>
      <c r="M9" s="675">
        <f t="shared" si="2"/>
        <v>0</v>
      </c>
      <c r="N9" s="675">
        <f t="shared" si="3"/>
        <v>0</v>
      </c>
      <c r="O9" s="675">
        <f t="shared" si="5"/>
        <v>0</v>
      </c>
      <c r="P9" s="676">
        <f>ROUND(K9*$P$2,2)</f>
        <v>0</v>
      </c>
      <c r="Q9" s="677">
        <f>ROUND(P9*D9,2)</f>
        <v>0</v>
      </c>
    </row>
    <row r="10" spans="1:18" ht="17.45" customHeight="1" x14ac:dyDescent="0.25">
      <c r="A10" s="273" t="s">
        <v>651</v>
      </c>
      <c r="B10" s="678"/>
      <c r="C10" s="274"/>
      <c r="D10" s="674"/>
      <c r="E10" s="265">
        <v>0</v>
      </c>
      <c r="F10" s="673">
        <f t="shared" si="0"/>
        <v>0</v>
      </c>
      <c r="G10" s="674"/>
      <c r="H10" s="673">
        <f t="shared" si="0"/>
        <v>0</v>
      </c>
      <c r="I10" s="265"/>
      <c r="J10" s="265"/>
      <c r="K10" s="675">
        <f t="shared" si="4"/>
        <v>0</v>
      </c>
      <c r="L10" s="675">
        <f t="shared" si="1"/>
        <v>0</v>
      </c>
      <c r="M10" s="675">
        <f t="shared" si="2"/>
        <v>0</v>
      </c>
      <c r="N10" s="675">
        <f t="shared" si="3"/>
        <v>0</v>
      </c>
      <c r="O10" s="675">
        <f t="shared" si="5"/>
        <v>0</v>
      </c>
      <c r="P10" s="676">
        <f>ROUND(K10*$P$2,2)</f>
        <v>0</v>
      </c>
      <c r="Q10" s="677">
        <f>ROUND(P10*D10,2)</f>
        <v>0</v>
      </c>
    </row>
    <row r="11" spans="1:18" ht="17.45" customHeight="1" x14ac:dyDescent="0.25">
      <c r="A11" s="273" t="s">
        <v>1110</v>
      </c>
      <c r="B11" s="678"/>
      <c r="C11" s="274"/>
      <c r="D11" s="265"/>
      <c r="E11" s="265">
        <v>0</v>
      </c>
      <c r="F11" s="673">
        <f t="shared" si="0"/>
        <v>0</v>
      </c>
      <c r="G11" s="674"/>
      <c r="H11" s="673">
        <f t="shared" si="0"/>
        <v>0</v>
      </c>
      <c r="I11" s="265"/>
      <c r="J11" s="265"/>
      <c r="K11" s="675">
        <f t="shared" si="4"/>
        <v>0</v>
      </c>
      <c r="L11" s="675">
        <f t="shared" si="1"/>
        <v>0</v>
      </c>
      <c r="M11" s="675">
        <f t="shared" si="2"/>
        <v>0</v>
      </c>
      <c r="N11" s="675">
        <f t="shared" si="3"/>
        <v>0</v>
      </c>
      <c r="O11" s="675">
        <f t="shared" si="5"/>
        <v>0</v>
      </c>
      <c r="P11" s="676">
        <f t="shared" ref="P11:P37" si="6">ROUND(K11*$P$2,2)</f>
        <v>0</v>
      </c>
      <c r="Q11" s="677">
        <f t="shared" ref="Q11:Q37" si="7">ROUND(P11*D11,2)</f>
        <v>0</v>
      </c>
    </row>
    <row r="12" spans="1:18" ht="17.45" customHeight="1" x14ac:dyDescent="0.25">
      <c r="A12" s="273" t="s">
        <v>1111</v>
      </c>
      <c r="B12" s="678"/>
      <c r="C12" s="274"/>
      <c r="D12" s="265"/>
      <c r="E12" s="265">
        <v>0</v>
      </c>
      <c r="F12" s="673">
        <f t="shared" si="0"/>
        <v>0</v>
      </c>
      <c r="G12" s="674"/>
      <c r="H12" s="673">
        <f t="shared" si="0"/>
        <v>0</v>
      </c>
      <c r="I12" s="265"/>
      <c r="J12" s="265"/>
      <c r="K12" s="675">
        <f t="shared" si="4"/>
        <v>0</v>
      </c>
      <c r="L12" s="675">
        <f t="shared" si="1"/>
        <v>0</v>
      </c>
      <c r="M12" s="675">
        <f t="shared" si="2"/>
        <v>0</v>
      </c>
      <c r="N12" s="675">
        <f t="shared" si="3"/>
        <v>0</v>
      </c>
      <c r="O12" s="675">
        <f t="shared" si="5"/>
        <v>0</v>
      </c>
      <c r="P12" s="676">
        <f t="shared" si="6"/>
        <v>0</v>
      </c>
      <c r="Q12" s="677">
        <f t="shared" si="7"/>
        <v>0</v>
      </c>
      <c r="R12" s="31"/>
    </row>
    <row r="13" spans="1:18" ht="17.45" customHeight="1" x14ac:dyDescent="0.25">
      <c r="A13" s="273" t="s">
        <v>1112</v>
      </c>
      <c r="B13" s="678"/>
      <c r="C13" s="274"/>
      <c r="D13" s="265"/>
      <c r="E13" s="265">
        <v>0</v>
      </c>
      <c r="F13" s="673">
        <f t="shared" si="0"/>
        <v>0</v>
      </c>
      <c r="G13" s="674"/>
      <c r="H13" s="673">
        <f t="shared" si="0"/>
        <v>0</v>
      </c>
      <c r="I13" s="265"/>
      <c r="J13" s="265"/>
      <c r="K13" s="675">
        <f t="shared" si="4"/>
        <v>0</v>
      </c>
      <c r="L13" s="675">
        <f t="shared" si="1"/>
        <v>0</v>
      </c>
      <c r="M13" s="675">
        <f t="shared" si="2"/>
        <v>0</v>
      </c>
      <c r="N13" s="675">
        <f t="shared" si="3"/>
        <v>0</v>
      </c>
      <c r="O13" s="675">
        <f t="shared" si="5"/>
        <v>0</v>
      </c>
      <c r="P13" s="676">
        <f t="shared" si="6"/>
        <v>0</v>
      </c>
      <c r="Q13" s="677">
        <f t="shared" si="7"/>
        <v>0</v>
      </c>
    </row>
    <row r="14" spans="1:18" ht="17.45" customHeight="1" x14ac:dyDescent="0.25">
      <c r="A14" s="273" t="s">
        <v>1113</v>
      </c>
      <c r="B14" s="678"/>
      <c r="C14" s="274"/>
      <c r="D14" s="265"/>
      <c r="E14" s="265">
        <v>0</v>
      </c>
      <c r="F14" s="673">
        <f t="shared" si="0"/>
        <v>0</v>
      </c>
      <c r="G14" s="674"/>
      <c r="H14" s="673">
        <f t="shared" si="0"/>
        <v>0</v>
      </c>
      <c r="I14" s="265"/>
      <c r="J14" s="265"/>
      <c r="K14" s="675">
        <f t="shared" si="4"/>
        <v>0</v>
      </c>
      <c r="L14" s="675">
        <f t="shared" si="1"/>
        <v>0</v>
      </c>
      <c r="M14" s="675">
        <f t="shared" si="2"/>
        <v>0</v>
      </c>
      <c r="N14" s="675">
        <f t="shared" si="3"/>
        <v>0</v>
      </c>
      <c r="O14" s="675">
        <f t="shared" si="5"/>
        <v>0</v>
      </c>
      <c r="P14" s="676">
        <f t="shared" si="6"/>
        <v>0</v>
      </c>
      <c r="Q14" s="677">
        <f t="shared" si="7"/>
        <v>0</v>
      </c>
    </row>
    <row r="15" spans="1:18" ht="17.45" customHeight="1" x14ac:dyDescent="0.25">
      <c r="A15" s="273" t="s">
        <v>1114</v>
      </c>
      <c r="B15" s="678"/>
      <c r="C15" s="274"/>
      <c r="D15" s="674"/>
      <c r="E15" s="265">
        <v>0</v>
      </c>
      <c r="F15" s="673">
        <f t="shared" si="0"/>
        <v>0</v>
      </c>
      <c r="G15" s="674"/>
      <c r="H15" s="673">
        <f t="shared" si="0"/>
        <v>0</v>
      </c>
      <c r="I15" s="265"/>
      <c r="J15" s="265"/>
      <c r="K15" s="675">
        <f t="shared" si="4"/>
        <v>0</v>
      </c>
      <c r="L15" s="675">
        <f>ROUND(K15*D15,2)</f>
        <v>0</v>
      </c>
      <c r="M15" s="675">
        <f t="shared" si="2"/>
        <v>0</v>
      </c>
      <c r="N15" s="675">
        <f t="shared" si="3"/>
        <v>0</v>
      </c>
      <c r="O15" s="675">
        <f t="shared" si="5"/>
        <v>0</v>
      </c>
      <c r="P15" s="676">
        <f t="shared" si="6"/>
        <v>0</v>
      </c>
      <c r="Q15" s="677">
        <f t="shared" si="7"/>
        <v>0</v>
      </c>
    </row>
    <row r="16" spans="1:18" ht="17.45" customHeight="1" x14ac:dyDescent="0.25">
      <c r="A16" s="273" t="s">
        <v>1115</v>
      </c>
      <c r="B16" s="678"/>
      <c r="C16" s="274"/>
      <c r="D16" s="674"/>
      <c r="E16" s="265">
        <v>0</v>
      </c>
      <c r="F16" s="673">
        <f t="shared" si="0"/>
        <v>0</v>
      </c>
      <c r="G16" s="674"/>
      <c r="H16" s="673">
        <f t="shared" si="0"/>
        <v>0</v>
      </c>
      <c r="I16" s="265"/>
      <c r="J16" s="265"/>
      <c r="K16" s="675">
        <f t="shared" si="4"/>
        <v>0</v>
      </c>
      <c r="L16" s="675">
        <f>ROUND(K16*D16,2)</f>
        <v>0</v>
      </c>
      <c r="M16" s="675">
        <f t="shared" si="2"/>
        <v>0</v>
      </c>
      <c r="N16" s="675">
        <f t="shared" si="3"/>
        <v>0</v>
      </c>
      <c r="O16" s="675">
        <f t="shared" si="5"/>
        <v>0</v>
      </c>
      <c r="P16" s="676">
        <f t="shared" si="6"/>
        <v>0</v>
      </c>
      <c r="Q16" s="677">
        <f t="shared" si="7"/>
        <v>0</v>
      </c>
    </row>
    <row r="17" spans="1:17" ht="17.45" customHeight="1" x14ac:dyDescent="0.25">
      <c r="A17" s="273" t="s">
        <v>1116</v>
      </c>
      <c r="B17" s="678"/>
      <c r="C17" s="274"/>
      <c r="D17" s="265"/>
      <c r="E17" s="265">
        <v>0</v>
      </c>
      <c r="F17" s="673">
        <f t="shared" si="0"/>
        <v>0</v>
      </c>
      <c r="G17" s="674"/>
      <c r="H17" s="673">
        <f t="shared" si="0"/>
        <v>0</v>
      </c>
      <c r="I17" s="265"/>
      <c r="J17" s="265"/>
      <c r="K17" s="675">
        <f t="shared" si="4"/>
        <v>0</v>
      </c>
      <c r="L17" s="675">
        <f t="shared" si="1"/>
        <v>0</v>
      </c>
      <c r="M17" s="675">
        <f t="shared" si="2"/>
        <v>0</v>
      </c>
      <c r="N17" s="675">
        <f t="shared" si="3"/>
        <v>0</v>
      </c>
      <c r="O17" s="675">
        <f t="shared" si="5"/>
        <v>0</v>
      </c>
      <c r="P17" s="676">
        <f t="shared" si="6"/>
        <v>0</v>
      </c>
      <c r="Q17" s="677">
        <f t="shared" si="7"/>
        <v>0</v>
      </c>
    </row>
    <row r="18" spans="1:17" ht="17.45" customHeight="1" x14ac:dyDescent="0.25">
      <c r="A18" s="273" t="s">
        <v>1117</v>
      </c>
      <c r="B18" s="678"/>
      <c r="C18" s="274"/>
      <c r="D18" s="265"/>
      <c r="E18" s="265">
        <v>0</v>
      </c>
      <c r="F18" s="673">
        <f t="shared" si="0"/>
        <v>0</v>
      </c>
      <c r="G18" s="674"/>
      <c r="H18" s="673">
        <f t="shared" si="0"/>
        <v>0</v>
      </c>
      <c r="I18" s="265"/>
      <c r="J18" s="265"/>
      <c r="K18" s="675">
        <f t="shared" si="4"/>
        <v>0</v>
      </c>
      <c r="L18" s="675">
        <f t="shared" si="1"/>
        <v>0</v>
      </c>
      <c r="M18" s="675">
        <f t="shared" si="2"/>
        <v>0</v>
      </c>
      <c r="N18" s="675">
        <f t="shared" si="3"/>
        <v>0</v>
      </c>
      <c r="O18" s="675">
        <f t="shared" si="5"/>
        <v>0</v>
      </c>
      <c r="P18" s="676">
        <f t="shared" si="6"/>
        <v>0</v>
      </c>
      <c r="Q18" s="677">
        <f t="shared" si="7"/>
        <v>0</v>
      </c>
    </row>
    <row r="19" spans="1:17" ht="17.45" customHeight="1" x14ac:dyDescent="0.25">
      <c r="A19" s="273" t="s">
        <v>1118</v>
      </c>
      <c r="B19" s="678"/>
      <c r="C19" s="274"/>
      <c r="D19" s="265"/>
      <c r="E19" s="265">
        <v>0</v>
      </c>
      <c r="F19" s="673">
        <f t="shared" si="0"/>
        <v>0</v>
      </c>
      <c r="G19" s="674"/>
      <c r="H19" s="673">
        <f t="shared" si="0"/>
        <v>0</v>
      </c>
      <c r="I19" s="265"/>
      <c r="J19" s="265"/>
      <c r="K19" s="675">
        <f t="shared" si="4"/>
        <v>0</v>
      </c>
      <c r="L19" s="675">
        <f t="shared" si="1"/>
        <v>0</v>
      </c>
      <c r="M19" s="675">
        <f t="shared" si="2"/>
        <v>0</v>
      </c>
      <c r="N19" s="675">
        <f t="shared" si="3"/>
        <v>0</v>
      </c>
      <c r="O19" s="675">
        <f t="shared" si="5"/>
        <v>0</v>
      </c>
      <c r="P19" s="676">
        <f t="shared" si="6"/>
        <v>0</v>
      </c>
      <c r="Q19" s="677">
        <f t="shared" si="7"/>
        <v>0</v>
      </c>
    </row>
    <row r="20" spans="1:17" ht="17.45" customHeight="1" x14ac:dyDescent="0.25">
      <c r="A20" s="273" t="s">
        <v>1119</v>
      </c>
      <c r="B20" s="678"/>
      <c r="C20" s="274"/>
      <c r="D20" s="265"/>
      <c r="E20" s="265">
        <v>0</v>
      </c>
      <c r="F20" s="673">
        <f t="shared" si="0"/>
        <v>0</v>
      </c>
      <c r="G20" s="674"/>
      <c r="H20" s="673">
        <f t="shared" si="0"/>
        <v>0</v>
      </c>
      <c r="I20" s="265"/>
      <c r="J20" s="265"/>
      <c r="K20" s="675">
        <f t="shared" si="4"/>
        <v>0</v>
      </c>
      <c r="L20" s="675">
        <f t="shared" si="1"/>
        <v>0</v>
      </c>
      <c r="M20" s="675">
        <f t="shared" si="2"/>
        <v>0</v>
      </c>
      <c r="N20" s="675">
        <f t="shared" si="3"/>
        <v>0</v>
      </c>
      <c r="O20" s="675">
        <f t="shared" si="5"/>
        <v>0</v>
      </c>
      <c r="P20" s="676">
        <f t="shared" si="6"/>
        <v>0</v>
      </c>
      <c r="Q20" s="677">
        <f t="shared" si="7"/>
        <v>0</v>
      </c>
    </row>
    <row r="21" spans="1:17" ht="17.45" customHeight="1" x14ac:dyDescent="0.25">
      <c r="A21" s="273" t="s">
        <v>1120</v>
      </c>
      <c r="B21" s="678"/>
      <c r="C21" s="274"/>
      <c r="D21" s="265"/>
      <c r="E21" s="265">
        <v>0</v>
      </c>
      <c r="F21" s="673">
        <f t="shared" si="0"/>
        <v>0</v>
      </c>
      <c r="G21" s="674"/>
      <c r="H21" s="673">
        <f t="shared" si="0"/>
        <v>0</v>
      </c>
      <c r="I21" s="265"/>
      <c r="J21" s="265"/>
      <c r="K21" s="675">
        <f t="shared" si="4"/>
        <v>0</v>
      </c>
      <c r="L21" s="675">
        <f t="shared" si="1"/>
        <v>0</v>
      </c>
      <c r="M21" s="675">
        <f t="shared" si="2"/>
        <v>0</v>
      </c>
      <c r="N21" s="675">
        <f t="shared" si="3"/>
        <v>0</v>
      </c>
      <c r="O21" s="675">
        <f t="shared" si="5"/>
        <v>0</v>
      </c>
      <c r="P21" s="676">
        <f t="shared" si="6"/>
        <v>0</v>
      </c>
      <c r="Q21" s="677">
        <f t="shared" si="7"/>
        <v>0</v>
      </c>
    </row>
    <row r="22" spans="1:17" ht="17.45" customHeight="1" x14ac:dyDescent="0.25">
      <c r="A22" s="273" t="s">
        <v>1121</v>
      </c>
      <c r="B22" s="678"/>
      <c r="C22" s="274"/>
      <c r="D22" s="674"/>
      <c r="E22" s="265">
        <v>0</v>
      </c>
      <c r="F22" s="673">
        <f t="shared" ref="F22:F37" si="8">ROUND(E22*$C$2,2)</f>
        <v>0</v>
      </c>
      <c r="G22" s="674"/>
      <c r="H22" s="673">
        <f t="shared" ref="H22:H37" si="9">ROUND(G22*$C$2,2)</f>
        <v>0</v>
      </c>
      <c r="I22" s="265"/>
      <c r="J22" s="265"/>
      <c r="K22" s="675">
        <f t="shared" si="4"/>
        <v>0</v>
      </c>
      <c r="L22" s="675">
        <f t="shared" si="1"/>
        <v>0</v>
      </c>
      <c r="M22" s="675">
        <f t="shared" si="2"/>
        <v>0</v>
      </c>
      <c r="N22" s="675">
        <f t="shared" si="3"/>
        <v>0</v>
      </c>
      <c r="O22" s="675">
        <f t="shared" si="5"/>
        <v>0</v>
      </c>
      <c r="P22" s="676">
        <f t="shared" si="6"/>
        <v>0</v>
      </c>
      <c r="Q22" s="677">
        <f t="shared" si="7"/>
        <v>0</v>
      </c>
    </row>
    <row r="23" spans="1:17" ht="17.45" customHeight="1" x14ac:dyDescent="0.25">
      <c r="A23" s="273" t="s">
        <v>1122</v>
      </c>
      <c r="B23" s="678"/>
      <c r="C23" s="274"/>
      <c r="D23" s="265"/>
      <c r="E23" s="265">
        <v>0</v>
      </c>
      <c r="F23" s="673">
        <f t="shared" si="8"/>
        <v>0</v>
      </c>
      <c r="G23" s="674"/>
      <c r="H23" s="673">
        <f t="shared" si="9"/>
        <v>0</v>
      </c>
      <c r="I23" s="265"/>
      <c r="J23" s="265"/>
      <c r="K23" s="675">
        <f t="shared" si="4"/>
        <v>0</v>
      </c>
      <c r="L23" s="675">
        <f t="shared" si="1"/>
        <v>0</v>
      </c>
      <c r="M23" s="675">
        <f t="shared" si="2"/>
        <v>0</v>
      </c>
      <c r="N23" s="675">
        <f t="shared" si="3"/>
        <v>0</v>
      </c>
      <c r="O23" s="675">
        <f t="shared" si="5"/>
        <v>0</v>
      </c>
      <c r="P23" s="676">
        <f t="shared" si="6"/>
        <v>0</v>
      </c>
      <c r="Q23" s="677">
        <f t="shared" si="7"/>
        <v>0</v>
      </c>
    </row>
    <row r="24" spans="1:17" ht="17.45" customHeight="1" x14ac:dyDescent="0.25">
      <c r="A24" s="273" t="s">
        <v>1123</v>
      </c>
      <c r="B24" s="678"/>
      <c r="C24" s="274"/>
      <c r="D24" s="674"/>
      <c r="E24" s="265">
        <v>0</v>
      </c>
      <c r="F24" s="673">
        <f t="shared" si="8"/>
        <v>0</v>
      </c>
      <c r="G24" s="674"/>
      <c r="H24" s="673">
        <f t="shared" si="9"/>
        <v>0</v>
      </c>
      <c r="I24" s="265"/>
      <c r="J24" s="265"/>
      <c r="K24" s="675">
        <f t="shared" si="4"/>
        <v>0</v>
      </c>
      <c r="L24" s="675">
        <f t="shared" si="1"/>
        <v>0</v>
      </c>
      <c r="M24" s="675">
        <f t="shared" si="2"/>
        <v>0</v>
      </c>
      <c r="N24" s="675">
        <f t="shared" si="3"/>
        <v>0</v>
      </c>
      <c r="O24" s="675">
        <f t="shared" si="5"/>
        <v>0</v>
      </c>
      <c r="P24" s="676">
        <f t="shared" si="6"/>
        <v>0</v>
      </c>
      <c r="Q24" s="677">
        <f t="shared" si="7"/>
        <v>0</v>
      </c>
    </row>
    <row r="25" spans="1:17" ht="17.45" customHeight="1" x14ac:dyDescent="0.25">
      <c r="A25" s="273" t="s">
        <v>1124</v>
      </c>
      <c r="B25" s="679"/>
      <c r="C25" s="275"/>
      <c r="D25" s="680"/>
      <c r="E25" s="681">
        <v>0</v>
      </c>
      <c r="F25" s="673">
        <f t="shared" si="8"/>
        <v>0</v>
      </c>
      <c r="G25" s="674"/>
      <c r="H25" s="673">
        <f t="shared" si="9"/>
        <v>0</v>
      </c>
      <c r="I25" s="265"/>
      <c r="J25" s="265"/>
      <c r="K25" s="675">
        <f t="shared" si="4"/>
        <v>0</v>
      </c>
      <c r="L25" s="675">
        <f t="shared" si="1"/>
        <v>0</v>
      </c>
      <c r="M25" s="675">
        <f t="shared" si="2"/>
        <v>0</v>
      </c>
      <c r="N25" s="675">
        <f t="shared" si="3"/>
        <v>0</v>
      </c>
      <c r="O25" s="675">
        <f t="shared" si="5"/>
        <v>0</v>
      </c>
      <c r="P25" s="676">
        <f t="shared" si="6"/>
        <v>0</v>
      </c>
      <c r="Q25" s="677">
        <f t="shared" si="7"/>
        <v>0</v>
      </c>
    </row>
    <row r="26" spans="1:17" ht="17.45" customHeight="1" x14ac:dyDescent="0.25">
      <c r="A26" s="682">
        <v>21</v>
      </c>
      <c r="B26" s="683"/>
      <c r="C26" s="274"/>
      <c r="D26" s="265"/>
      <c r="E26" s="265">
        <v>0</v>
      </c>
      <c r="F26" s="673">
        <f t="shared" si="8"/>
        <v>0</v>
      </c>
      <c r="G26" s="674"/>
      <c r="H26" s="673">
        <f t="shared" si="9"/>
        <v>0</v>
      </c>
      <c r="I26" s="265"/>
      <c r="J26" s="265"/>
      <c r="K26" s="675">
        <f t="shared" si="4"/>
        <v>0</v>
      </c>
      <c r="L26" s="675">
        <f t="shared" si="1"/>
        <v>0</v>
      </c>
      <c r="M26" s="675">
        <f t="shared" si="2"/>
        <v>0</v>
      </c>
      <c r="N26" s="675">
        <f t="shared" si="3"/>
        <v>0</v>
      </c>
      <c r="O26" s="675">
        <f t="shared" si="5"/>
        <v>0</v>
      </c>
      <c r="P26" s="676">
        <f t="shared" si="6"/>
        <v>0</v>
      </c>
      <c r="Q26" s="677">
        <f t="shared" si="7"/>
        <v>0</v>
      </c>
    </row>
    <row r="27" spans="1:17" ht="17.45" customHeight="1" x14ac:dyDescent="0.25">
      <c r="A27" s="684">
        <v>22</v>
      </c>
      <c r="B27" s="678"/>
      <c r="C27" s="274"/>
      <c r="D27" s="265"/>
      <c r="E27" s="265">
        <v>0</v>
      </c>
      <c r="F27" s="673">
        <f t="shared" si="8"/>
        <v>0</v>
      </c>
      <c r="G27" s="674"/>
      <c r="H27" s="673">
        <f t="shared" si="9"/>
        <v>0</v>
      </c>
      <c r="I27" s="265"/>
      <c r="J27" s="265"/>
      <c r="K27" s="675">
        <f t="shared" si="4"/>
        <v>0</v>
      </c>
      <c r="L27" s="675">
        <f t="shared" si="1"/>
        <v>0</v>
      </c>
      <c r="M27" s="675">
        <f t="shared" si="2"/>
        <v>0</v>
      </c>
      <c r="N27" s="675">
        <f t="shared" si="3"/>
        <v>0</v>
      </c>
      <c r="O27" s="675">
        <f t="shared" si="5"/>
        <v>0</v>
      </c>
      <c r="P27" s="676">
        <f t="shared" si="6"/>
        <v>0</v>
      </c>
      <c r="Q27" s="677">
        <f t="shared" si="7"/>
        <v>0</v>
      </c>
    </row>
    <row r="28" spans="1:17" ht="17.45" customHeight="1" x14ac:dyDescent="0.25">
      <c r="A28" s="684">
        <v>23</v>
      </c>
      <c r="B28" s="678"/>
      <c r="C28" s="274"/>
      <c r="D28" s="265"/>
      <c r="E28" s="265">
        <v>0</v>
      </c>
      <c r="F28" s="673">
        <f t="shared" si="8"/>
        <v>0</v>
      </c>
      <c r="G28" s="674"/>
      <c r="H28" s="673">
        <f t="shared" si="9"/>
        <v>0</v>
      </c>
      <c r="I28" s="265"/>
      <c r="J28" s="265"/>
      <c r="K28" s="675">
        <f t="shared" si="4"/>
        <v>0</v>
      </c>
      <c r="L28" s="675">
        <f t="shared" si="1"/>
        <v>0</v>
      </c>
      <c r="M28" s="675">
        <f t="shared" si="2"/>
        <v>0</v>
      </c>
      <c r="N28" s="675">
        <f t="shared" si="3"/>
        <v>0</v>
      </c>
      <c r="O28" s="675">
        <f t="shared" si="5"/>
        <v>0</v>
      </c>
      <c r="P28" s="676">
        <f t="shared" si="6"/>
        <v>0</v>
      </c>
      <c r="Q28" s="677">
        <f t="shared" si="7"/>
        <v>0</v>
      </c>
    </row>
    <row r="29" spans="1:17" ht="17.45" customHeight="1" x14ac:dyDescent="0.25">
      <c r="A29" s="684">
        <v>24</v>
      </c>
      <c r="B29" s="678"/>
      <c r="C29" s="274"/>
      <c r="D29" s="265"/>
      <c r="E29" s="265">
        <v>0</v>
      </c>
      <c r="F29" s="673">
        <f t="shared" si="8"/>
        <v>0</v>
      </c>
      <c r="G29" s="674"/>
      <c r="H29" s="673">
        <f t="shared" si="9"/>
        <v>0</v>
      </c>
      <c r="I29" s="265"/>
      <c r="J29" s="265"/>
      <c r="K29" s="675">
        <f t="shared" si="4"/>
        <v>0</v>
      </c>
      <c r="L29" s="675">
        <f t="shared" si="1"/>
        <v>0</v>
      </c>
      <c r="M29" s="675">
        <f t="shared" si="2"/>
        <v>0</v>
      </c>
      <c r="N29" s="675">
        <f t="shared" si="3"/>
        <v>0</v>
      </c>
      <c r="O29" s="675">
        <f t="shared" si="5"/>
        <v>0</v>
      </c>
      <c r="P29" s="676">
        <f t="shared" si="6"/>
        <v>0</v>
      </c>
      <c r="Q29" s="677">
        <f t="shared" si="7"/>
        <v>0</v>
      </c>
    </row>
    <row r="30" spans="1:17" ht="17.45" customHeight="1" x14ac:dyDescent="0.25">
      <c r="A30" s="684">
        <v>25</v>
      </c>
      <c r="B30" s="678"/>
      <c r="C30" s="274"/>
      <c r="D30" s="265"/>
      <c r="E30" s="265">
        <v>0</v>
      </c>
      <c r="F30" s="673">
        <f t="shared" si="8"/>
        <v>0</v>
      </c>
      <c r="G30" s="674"/>
      <c r="H30" s="673">
        <f t="shared" si="9"/>
        <v>0</v>
      </c>
      <c r="I30" s="265"/>
      <c r="J30" s="265"/>
      <c r="K30" s="675">
        <f t="shared" si="4"/>
        <v>0</v>
      </c>
      <c r="L30" s="675">
        <f t="shared" si="1"/>
        <v>0</v>
      </c>
      <c r="M30" s="675">
        <f t="shared" si="2"/>
        <v>0</v>
      </c>
      <c r="N30" s="675">
        <f t="shared" si="3"/>
        <v>0</v>
      </c>
      <c r="O30" s="675">
        <f t="shared" si="5"/>
        <v>0</v>
      </c>
      <c r="P30" s="676">
        <f t="shared" si="6"/>
        <v>0</v>
      </c>
      <c r="Q30" s="677">
        <f t="shared" si="7"/>
        <v>0</v>
      </c>
    </row>
    <row r="31" spans="1:17" ht="17.45" customHeight="1" x14ac:dyDescent="0.25">
      <c r="A31" s="684">
        <v>26</v>
      </c>
      <c r="B31" s="678"/>
      <c r="C31" s="274"/>
      <c r="D31" s="265"/>
      <c r="E31" s="265">
        <v>0</v>
      </c>
      <c r="F31" s="673">
        <f t="shared" si="8"/>
        <v>0</v>
      </c>
      <c r="G31" s="674"/>
      <c r="H31" s="673">
        <f t="shared" si="9"/>
        <v>0</v>
      </c>
      <c r="I31" s="265"/>
      <c r="J31" s="265"/>
      <c r="K31" s="675">
        <f t="shared" si="4"/>
        <v>0</v>
      </c>
      <c r="L31" s="675">
        <f t="shared" si="1"/>
        <v>0</v>
      </c>
      <c r="M31" s="675">
        <f t="shared" si="2"/>
        <v>0</v>
      </c>
      <c r="N31" s="675">
        <f t="shared" si="3"/>
        <v>0</v>
      </c>
      <c r="O31" s="675">
        <f t="shared" si="5"/>
        <v>0</v>
      </c>
      <c r="P31" s="676">
        <f t="shared" si="6"/>
        <v>0</v>
      </c>
      <c r="Q31" s="677">
        <f t="shared" si="7"/>
        <v>0</v>
      </c>
    </row>
    <row r="32" spans="1:17" ht="17.45" customHeight="1" x14ac:dyDescent="0.25">
      <c r="A32" s="684">
        <v>27</v>
      </c>
      <c r="B32" s="678"/>
      <c r="C32" s="274"/>
      <c r="D32" s="265"/>
      <c r="E32" s="265">
        <v>0</v>
      </c>
      <c r="F32" s="673">
        <f t="shared" si="8"/>
        <v>0</v>
      </c>
      <c r="G32" s="674"/>
      <c r="H32" s="673">
        <f t="shared" si="9"/>
        <v>0</v>
      </c>
      <c r="I32" s="265"/>
      <c r="J32" s="265"/>
      <c r="K32" s="675">
        <f t="shared" si="4"/>
        <v>0</v>
      </c>
      <c r="L32" s="675">
        <f t="shared" si="1"/>
        <v>0</v>
      </c>
      <c r="M32" s="675">
        <f t="shared" si="2"/>
        <v>0</v>
      </c>
      <c r="N32" s="675">
        <f t="shared" si="3"/>
        <v>0</v>
      </c>
      <c r="O32" s="675">
        <f t="shared" si="5"/>
        <v>0</v>
      </c>
      <c r="P32" s="676">
        <f t="shared" si="6"/>
        <v>0</v>
      </c>
      <c r="Q32" s="677">
        <f t="shared" si="7"/>
        <v>0</v>
      </c>
    </row>
    <row r="33" spans="1:17" ht="17.45" customHeight="1" x14ac:dyDescent="0.25">
      <c r="A33" s="684">
        <v>28</v>
      </c>
      <c r="B33" s="678"/>
      <c r="C33" s="274"/>
      <c r="D33" s="674"/>
      <c r="E33" s="265">
        <v>0</v>
      </c>
      <c r="F33" s="673">
        <f t="shared" si="8"/>
        <v>0</v>
      </c>
      <c r="G33" s="674"/>
      <c r="H33" s="673">
        <f t="shared" si="9"/>
        <v>0</v>
      </c>
      <c r="I33" s="265"/>
      <c r="J33" s="265"/>
      <c r="K33" s="675">
        <f t="shared" si="4"/>
        <v>0</v>
      </c>
      <c r="L33" s="675">
        <f t="shared" si="1"/>
        <v>0</v>
      </c>
      <c r="M33" s="675">
        <f t="shared" si="2"/>
        <v>0</v>
      </c>
      <c r="N33" s="675">
        <f t="shared" si="3"/>
        <v>0</v>
      </c>
      <c r="O33" s="675">
        <f t="shared" si="5"/>
        <v>0</v>
      </c>
      <c r="P33" s="676">
        <f t="shared" si="6"/>
        <v>0</v>
      </c>
      <c r="Q33" s="677">
        <f t="shared" si="7"/>
        <v>0</v>
      </c>
    </row>
    <row r="34" spans="1:17" ht="17.45" customHeight="1" x14ac:dyDescent="0.25">
      <c r="A34" s="684">
        <v>29</v>
      </c>
      <c r="B34" s="678"/>
      <c r="C34" s="274"/>
      <c r="D34" s="265"/>
      <c r="E34" s="265">
        <v>0</v>
      </c>
      <c r="F34" s="673">
        <f t="shared" si="8"/>
        <v>0</v>
      </c>
      <c r="G34" s="674"/>
      <c r="H34" s="673">
        <f t="shared" si="9"/>
        <v>0</v>
      </c>
      <c r="I34" s="265"/>
      <c r="J34" s="265"/>
      <c r="K34" s="675">
        <f t="shared" si="4"/>
        <v>0</v>
      </c>
      <c r="L34" s="675">
        <f t="shared" si="1"/>
        <v>0</v>
      </c>
      <c r="M34" s="675">
        <f t="shared" si="2"/>
        <v>0</v>
      </c>
      <c r="N34" s="675">
        <f t="shared" si="3"/>
        <v>0</v>
      </c>
      <c r="O34" s="675">
        <f t="shared" si="5"/>
        <v>0</v>
      </c>
      <c r="P34" s="676">
        <f t="shared" si="6"/>
        <v>0</v>
      </c>
      <c r="Q34" s="677">
        <f t="shared" si="7"/>
        <v>0</v>
      </c>
    </row>
    <row r="35" spans="1:17" ht="17.45" customHeight="1" x14ac:dyDescent="0.25">
      <c r="A35" s="684">
        <v>30</v>
      </c>
      <c r="B35" s="678"/>
      <c r="C35" s="274"/>
      <c r="D35" s="265"/>
      <c r="E35" s="265">
        <v>0</v>
      </c>
      <c r="F35" s="673">
        <f t="shared" si="8"/>
        <v>0</v>
      </c>
      <c r="G35" s="674"/>
      <c r="H35" s="673">
        <f t="shared" si="9"/>
        <v>0</v>
      </c>
      <c r="I35" s="265"/>
      <c r="J35" s="265"/>
      <c r="K35" s="675">
        <f t="shared" si="4"/>
        <v>0</v>
      </c>
      <c r="L35" s="675">
        <f t="shared" si="1"/>
        <v>0</v>
      </c>
      <c r="M35" s="675">
        <f t="shared" si="2"/>
        <v>0</v>
      </c>
      <c r="N35" s="675">
        <f t="shared" si="3"/>
        <v>0</v>
      </c>
      <c r="O35" s="675">
        <f t="shared" si="5"/>
        <v>0</v>
      </c>
      <c r="P35" s="676">
        <f t="shared" si="6"/>
        <v>0</v>
      </c>
      <c r="Q35" s="677">
        <f t="shared" si="7"/>
        <v>0</v>
      </c>
    </row>
    <row r="36" spans="1:17" ht="17.45" customHeight="1" x14ac:dyDescent="0.25">
      <c r="A36" s="684">
        <v>31</v>
      </c>
      <c r="B36" s="678"/>
      <c r="C36" s="274"/>
      <c r="D36" s="265"/>
      <c r="E36" s="265">
        <v>0</v>
      </c>
      <c r="F36" s="673">
        <f t="shared" si="8"/>
        <v>0</v>
      </c>
      <c r="G36" s="674"/>
      <c r="H36" s="673">
        <f t="shared" si="9"/>
        <v>0</v>
      </c>
      <c r="I36" s="265"/>
      <c r="J36" s="265"/>
      <c r="K36" s="675">
        <f t="shared" si="4"/>
        <v>0</v>
      </c>
      <c r="L36" s="675">
        <f t="shared" si="1"/>
        <v>0</v>
      </c>
      <c r="M36" s="675">
        <f t="shared" si="2"/>
        <v>0</v>
      </c>
      <c r="N36" s="675">
        <f t="shared" si="3"/>
        <v>0</v>
      </c>
      <c r="O36" s="675">
        <f t="shared" si="5"/>
        <v>0</v>
      </c>
      <c r="P36" s="676">
        <f t="shared" si="6"/>
        <v>0</v>
      </c>
      <c r="Q36" s="677">
        <f t="shared" si="7"/>
        <v>0</v>
      </c>
    </row>
    <row r="37" spans="1:17" ht="17.45" customHeight="1" x14ac:dyDescent="0.25">
      <c r="A37" s="684">
        <v>32</v>
      </c>
      <c r="B37" s="678"/>
      <c r="C37" s="274"/>
      <c r="D37" s="265"/>
      <c r="E37" s="265">
        <v>0</v>
      </c>
      <c r="F37" s="673">
        <f t="shared" si="8"/>
        <v>0</v>
      </c>
      <c r="G37" s="674"/>
      <c r="H37" s="673">
        <f t="shared" si="9"/>
        <v>0</v>
      </c>
      <c r="I37" s="265"/>
      <c r="J37" s="265"/>
      <c r="K37" s="675">
        <f t="shared" si="4"/>
        <v>0</v>
      </c>
      <c r="L37" s="675">
        <f t="shared" si="1"/>
        <v>0</v>
      </c>
      <c r="M37" s="675">
        <f t="shared" si="2"/>
        <v>0</v>
      </c>
      <c r="N37" s="675">
        <f t="shared" si="3"/>
        <v>0</v>
      </c>
      <c r="O37" s="675">
        <f t="shared" si="5"/>
        <v>0</v>
      </c>
      <c r="P37" s="676">
        <f t="shared" si="6"/>
        <v>0</v>
      </c>
      <c r="Q37" s="677">
        <f t="shared" si="7"/>
        <v>0</v>
      </c>
    </row>
    <row r="38" spans="1:17" ht="17.45" customHeight="1" thickBot="1" x14ac:dyDescent="0.3">
      <c r="A38" s="260"/>
      <c r="B38" s="261"/>
      <c r="C38" s="275"/>
      <c r="D38" s="685"/>
      <c r="E38" s="262"/>
      <c r="F38" s="686"/>
      <c r="G38" s="262"/>
      <c r="H38" s="686"/>
      <c r="I38" s="262"/>
      <c r="J38" s="267"/>
      <c r="K38" s="687"/>
      <c r="L38" s="687"/>
      <c r="M38" s="687"/>
      <c r="N38" s="688"/>
      <c r="O38" s="687"/>
      <c r="P38" s="689"/>
      <c r="Q38" s="690"/>
    </row>
    <row r="39" spans="1:17" ht="18.600000000000001" customHeight="1" thickTop="1" thickBot="1" x14ac:dyDescent="0.3">
      <c r="C39" s="276"/>
      <c r="D39" s="276"/>
      <c r="E39" s="31"/>
      <c r="F39" s="31"/>
      <c r="G39" s="31"/>
      <c r="H39" s="31"/>
      <c r="I39" s="31"/>
      <c r="J39" s="31"/>
      <c r="K39" s="269" t="s">
        <v>645</v>
      </c>
      <c r="L39" s="270">
        <f>SUM(L6:L38)</f>
        <v>0</v>
      </c>
      <c r="M39" s="271">
        <f>SUM(M6:M38)</f>
        <v>0</v>
      </c>
      <c r="N39" s="271">
        <f>SUM(N6:N38)</f>
        <v>0</v>
      </c>
      <c r="O39" s="272">
        <f>SUM(O6:O38)</f>
        <v>0</v>
      </c>
      <c r="P39" s="31"/>
      <c r="Q39" s="268">
        <f>SUM(Q6:Q38)</f>
        <v>0</v>
      </c>
    </row>
    <row r="40" spans="1:17" ht="18.600000000000001" customHeight="1" thickTop="1" x14ac:dyDescent="0.25"/>
    <row r="41" spans="1:17" ht="18.600000000000001" customHeight="1" x14ac:dyDescent="0.25"/>
    <row r="42" spans="1:17" ht="18.600000000000001" customHeight="1" x14ac:dyDescent="0.25"/>
    <row r="43" spans="1:17" ht="21" x14ac:dyDescent="0.35">
      <c r="F43" s="343" t="s">
        <v>730</v>
      </c>
      <c r="G43" s="343"/>
      <c r="H43" s="343"/>
    </row>
    <row r="45" spans="1:17" ht="18.75" x14ac:dyDescent="0.25">
      <c r="B45" s="344"/>
      <c r="C45" s="344"/>
      <c r="D45" s="344"/>
      <c r="E45" s="1421" t="s">
        <v>333</v>
      </c>
      <c r="F45" s="1422"/>
      <c r="G45" s="1422"/>
      <c r="H45" s="1422"/>
      <c r="I45" s="1422"/>
      <c r="J45" s="1422"/>
      <c r="K45" s="1423"/>
      <c r="L45" s="1421" t="s">
        <v>725</v>
      </c>
      <c r="M45" s="1423"/>
    </row>
    <row r="46" spans="1:17" ht="18.75" x14ac:dyDescent="0.25">
      <c r="B46" s="344"/>
      <c r="C46" s="344"/>
      <c r="D46" s="345"/>
      <c r="E46" s="1449" t="s">
        <v>55</v>
      </c>
      <c r="F46" s="1450"/>
      <c r="G46" s="1450"/>
      <c r="H46" s="1450"/>
      <c r="I46" s="1450"/>
      <c r="J46" s="1450"/>
      <c r="K46" s="346"/>
      <c r="L46" s="1451">
        <v>1</v>
      </c>
      <c r="M46" s="1452"/>
    </row>
    <row r="47" spans="1:17" ht="18.75" x14ac:dyDescent="0.25">
      <c r="D47" s="257"/>
      <c r="E47" s="1455" t="s">
        <v>157</v>
      </c>
      <c r="F47" s="1419"/>
      <c r="G47" s="1419"/>
      <c r="H47" s="1419"/>
      <c r="I47" s="1419"/>
      <c r="J47" s="1419"/>
      <c r="K47" s="347">
        <v>0</v>
      </c>
      <c r="L47" s="1456">
        <f>L46*K47</f>
        <v>0</v>
      </c>
      <c r="M47" s="1457"/>
    </row>
    <row r="48" spans="1:17" ht="18.75" x14ac:dyDescent="0.25">
      <c r="E48" s="1455" t="s">
        <v>726</v>
      </c>
      <c r="F48" s="1419"/>
      <c r="G48" s="1419"/>
      <c r="H48" s="1419"/>
      <c r="I48" s="1419"/>
      <c r="J48" s="1419"/>
      <c r="K48" s="347"/>
      <c r="L48" s="1458">
        <f>L46+L47</f>
        <v>1</v>
      </c>
      <c r="M48" s="1459"/>
    </row>
    <row r="49" spans="4:13" ht="18.75" x14ac:dyDescent="0.25">
      <c r="E49" s="1455" t="s">
        <v>159</v>
      </c>
      <c r="F49" s="1419"/>
      <c r="G49" s="1419"/>
      <c r="H49" s="1419"/>
      <c r="I49" s="1419"/>
      <c r="J49" s="1419"/>
      <c r="K49" s="347">
        <v>0</v>
      </c>
      <c r="L49" s="1460">
        <f>ROUND(L48*K49,2)</f>
        <v>0</v>
      </c>
      <c r="M49" s="1461"/>
    </row>
    <row r="50" spans="4:13" ht="18.75" x14ac:dyDescent="0.25">
      <c r="E50" s="1455" t="s">
        <v>727</v>
      </c>
      <c r="F50" s="1419"/>
      <c r="G50" s="1419"/>
      <c r="H50" s="1419"/>
      <c r="I50" s="1419"/>
      <c r="J50" s="1419"/>
      <c r="K50" s="347">
        <v>0</v>
      </c>
      <c r="L50" s="1456">
        <f>ROUND(L48*K50,2)</f>
        <v>0</v>
      </c>
      <c r="M50" s="1457"/>
    </row>
    <row r="51" spans="4:13" ht="18.75" x14ac:dyDescent="0.25">
      <c r="E51" s="1455" t="s">
        <v>646</v>
      </c>
      <c r="F51" s="1419"/>
      <c r="G51" s="1419"/>
      <c r="H51" s="1419"/>
      <c r="I51" s="1419"/>
      <c r="J51" s="1419"/>
      <c r="K51" s="347"/>
      <c r="L51" s="1458">
        <f>SUM(L48:M50)</f>
        <v>1</v>
      </c>
      <c r="M51" s="1459"/>
    </row>
    <row r="52" spans="4:13" ht="18.75" customHeight="1" x14ac:dyDescent="0.25">
      <c r="E52" s="1455" t="s">
        <v>728</v>
      </c>
      <c r="F52" s="1419"/>
      <c r="G52" s="1419"/>
      <c r="H52" s="1419"/>
      <c r="I52" s="1419"/>
      <c r="J52" s="1419"/>
      <c r="K52" s="347">
        <v>0</v>
      </c>
      <c r="L52" s="1456">
        <f>ROUND(L51*K52,2)</f>
        <v>0</v>
      </c>
      <c r="M52" s="1457"/>
    </row>
    <row r="53" spans="4:13" ht="18.75" customHeight="1" x14ac:dyDescent="0.25">
      <c r="D53" s="257"/>
      <c r="E53" s="1455" t="s">
        <v>54</v>
      </c>
      <c r="F53" s="1419"/>
      <c r="G53" s="1419"/>
      <c r="H53" s="1419"/>
      <c r="I53" s="1419"/>
      <c r="J53" s="1419"/>
      <c r="K53" s="348"/>
      <c r="L53" s="1462">
        <f>SUM(L51:M52)</f>
        <v>1</v>
      </c>
      <c r="M53" s="1463"/>
    </row>
    <row r="54" spans="4:13" ht="19.5" thickBot="1" x14ac:dyDescent="0.35">
      <c r="D54" s="257"/>
      <c r="E54" s="349"/>
      <c r="F54" s="349"/>
      <c r="G54" s="349"/>
      <c r="H54" s="349"/>
      <c r="I54" s="349"/>
      <c r="J54" s="349"/>
      <c r="K54" s="349"/>
      <c r="L54" s="349"/>
      <c r="M54" s="350"/>
    </row>
    <row r="55" spans="4:13" ht="20.25" customHeight="1" thickTop="1" thickBot="1" x14ac:dyDescent="0.35">
      <c r="D55" s="257"/>
      <c r="E55" s="1464" t="s">
        <v>647</v>
      </c>
      <c r="F55" s="1465"/>
      <c r="G55" s="1465"/>
      <c r="H55" s="1465"/>
      <c r="I55" s="1465"/>
      <c r="J55" s="1465"/>
      <c r="K55" s="351"/>
      <c r="L55" s="1466">
        <f>ROUND(IF(L46=0,0,L53/L46),4)</f>
        <v>1</v>
      </c>
      <c r="M55" s="1467"/>
    </row>
    <row r="56" spans="4:13" ht="16.5" thickTop="1" x14ac:dyDescent="0.25"/>
    <row r="60" spans="4:13" x14ac:dyDescent="0.25">
      <c r="D60" s="254" t="s">
        <v>1189</v>
      </c>
      <c r="H60" s="254" t="s">
        <v>42</v>
      </c>
      <c r="I60" s="20" t="s">
        <v>1184</v>
      </c>
      <c r="J60"/>
      <c r="K60" s="39" t="s">
        <v>42</v>
      </c>
      <c r="L60" s="894">
        <f>100/(100-(15+5))*15</f>
        <v>18.75</v>
      </c>
      <c r="M60" s="895" t="s">
        <v>1185</v>
      </c>
    </row>
    <row r="62" spans="4:13" x14ac:dyDescent="0.25">
      <c r="D62" s="254" t="s">
        <v>1186</v>
      </c>
      <c r="H62" s="254" t="s">
        <v>42</v>
      </c>
      <c r="I62" s="20" t="s">
        <v>1187</v>
      </c>
      <c r="J62"/>
      <c r="K62" s="39" t="s">
        <v>42</v>
      </c>
      <c r="L62" s="894">
        <f>100/(100-5)*5</f>
        <v>5.2631578947368416</v>
      </c>
      <c r="M62" s="895" t="s">
        <v>1188</v>
      </c>
    </row>
    <row r="66" spans="8:8" x14ac:dyDescent="0.25">
      <c r="H66" s="1569"/>
    </row>
    <row r="67" spans="8:8" ht="18.75" x14ac:dyDescent="0.25">
      <c r="H67" s="347">
        <v>0</v>
      </c>
    </row>
  </sheetData>
  <mergeCells count="41">
    <mergeCell ref="E53:J53"/>
    <mergeCell ref="L53:M53"/>
    <mergeCell ref="E55:J55"/>
    <mergeCell ref="L55:M55"/>
    <mergeCell ref="E50:J50"/>
    <mergeCell ref="L50:M50"/>
    <mergeCell ref="E51:J51"/>
    <mergeCell ref="L51:M51"/>
    <mergeCell ref="E52:J52"/>
    <mergeCell ref="L52:M52"/>
    <mergeCell ref="E47:J47"/>
    <mergeCell ref="L47:M47"/>
    <mergeCell ref="E48:J48"/>
    <mergeCell ref="L48:M48"/>
    <mergeCell ref="E49:J49"/>
    <mergeCell ref="L49:M49"/>
    <mergeCell ref="O3:O4"/>
    <mergeCell ref="P3:Q3"/>
    <mergeCell ref="E45:K45"/>
    <mergeCell ref="L45:M45"/>
    <mergeCell ref="E46:J46"/>
    <mergeCell ref="L46:M46"/>
    <mergeCell ref="I3:I4"/>
    <mergeCell ref="J3:J4"/>
    <mergeCell ref="K3:K4"/>
    <mergeCell ref="L3:L4"/>
    <mergeCell ref="M3:M4"/>
    <mergeCell ref="N3:N4"/>
    <mergeCell ref="G3:H3"/>
    <mergeCell ref="A3:A4"/>
    <mergeCell ref="B3:B4"/>
    <mergeCell ref="C3:C4"/>
    <mergeCell ref="D3:D4"/>
    <mergeCell ref="E3:F3"/>
    <mergeCell ref="C1:M1"/>
    <mergeCell ref="N1:O1"/>
    <mergeCell ref="P1:Q1"/>
    <mergeCell ref="A2:B2"/>
    <mergeCell ref="C2:D2"/>
    <mergeCell ref="M2:O2"/>
    <mergeCell ref="P2:Q2"/>
  </mergeCells>
  <pageMargins left="0.25" right="0.25" top="0.75" bottom="0.75" header="0.3" footer="0.3"/>
  <pageSetup paperSize="8" orientation="landscape" r:id="rId1"/>
  <headerFooter>
    <oddHeader>&amp;LEL RHALMANI OUSSAMA&amp;C&amp;"Calibri,Gras"&amp;20CALCUL DES PRIX &amp;RTS 424 EP</oddHeader>
    <oddFooter>&amp;C&amp;P/&amp;N</oddFooter>
  </headerFooter>
  <ignoredErrors>
    <ignoredError sqref="F6:F37 H6:H37 L39:Q39 L47:M53" unlockedFormula="1"/>
    <ignoredError sqref="A6:A25"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BE27-DA27-4AE9-9F29-17F57736DD66}">
  <sheetPr codeName="Feuil2"/>
  <dimension ref="A1:H30"/>
  <sheetViews>
    <sheetView view="pageLayout" topLeftCell="A2" zoomScaleNormal="100" workbookViewId="0">
      <selection activeCell="F28" sqref="F28:F29"/>
    </sheetView>
  </sheetViews>
  <sheetFormatPr baseColWidth="10" defaultRowHeight="15" x14ac:dyDescent="0.25"/>
  <cols>
    <col min="1" max="1" width="13.85546875" customWidth="1"/>
    <col min="2" max="2" width="56.28515625" customWidth="1"/>
    <col min="3" max="3" width="6.28515625" customWidth="1"/>
    <col min="4" max="8" width="13.140625" customWidth="1"/>
    <col min="9" max="12" width="11.85546875" customWidth="1"/>
  </cols>
  <sheetData>
    <row r="1" spans="1:8" ht="22.5" customHeight="1" thickTop="1" thickBot="1" x14ac:dyDescent="0.3">
      <c r="A1" s="13" t="s">
        <v>56</v>
      </c>
      <c r="B1" s="12">
        <f>'(C.H.M) MAIN D''OEUVRE'!C2</f>
        <v>1</v>
      </c>
      <c r="C1" s="1174" t="s">
        <v>0</v>
      </c>
      <c r="D1" s="1174"/>
      <c r="E1" s="1174"/>
      <c r="F1" s="18">
        <v>0</v>
      </c>
      <c r="G1" s="36" t="s">
        <v>57</v>
      </c>
      <c r="H1" s="6">
        <f ca="1">TODAY()</f>
        <v>46093</v>
      </c>
    </row>
    <row r="2" spans="1:8" ht="17.25" thickTop="1" thickBot="1" x14ac:dyDescent="0.3">
      <c r="A2" s="1184" t="s">
        <v>51</v>
      </c>
      <c r="B2" s="1186" t="s">
        <v>52</v>
      </c>
      <c r="C2" s="1184" t="s">
        <v>3</v>
      </c>
      <c r="D2" s="1186" t="s">
        <v>53</v>
      </c>
      <c r="E2" s="1181" t="s">
        <v>55</v>
      </c>
      <c r="F2" s="1182"/>
      <c r="G2" s="1181" t="s">
        <v>54</v>
      </c>
      <c r="H2" s="1182"/>
    </row>
    <row r="3" spans="1:8" ht="15.75" customHeight="1" thickTop="1" x14ac:dyDescent="0.25">
      <c r="A3" s="1185"/>
      <c r="B3" s="1187"/>
      <c r="C3" s="1185"/>
      <c r="D3" s="1187"/>
      <c r="E3" s="1187" t="s">
        <v>7</v>
      </c>
      <c r="F3" s="1188" t="s">
        <v>1138</v>
      </c>
      <c r="G3" s="1177" t="s">
        <v>18</v>
      </c>
      <c r="H3" s="1179" t="s">
        <v>1137</v>
      </c>
    </row>
    <row r="4" spans="1:8" ht="15.75" customHeight="1" thickBot="1" x14ac:dyDescent="0.3">
      <c r="A4" s="1178"/>
      <c r="B4" s="1180"/>
      <c r="C4" s="1178"/>
      <c r="D4" s="1180"/>
      <c r="E4" s="1180"/>
      <c r="F4" s="1189"/>
      <c r="G4" s="1178"/>
      <c r="H4" s="1180"/>
    </row>
    <row r="5" spans="1:8" ht="17.25" thickTop="1" thickBot="1" x14ac:dyDescent="0.3">
      <c r="A5" s="8">
        <v>1</v>
      </c>
      <c r="B5" s="8">
        <v>2</v>
      </c>
      <c r="C5" s="9">
        <v>3</v>
      </c>
      <c r="D5" s="10">
        <v>4</v>
      </c>
      <c r="E5" s="8">
        <v>5</v>
      </c>
      <c r="F5" s="7">
        <v>6</v>
      </c>
      <c r="G5" s="8">
        <v>7</v>
      </c>
      <c r="H5" s="7">
        <v>8</v>
      </c>
    </row>
    <row r="6" spans="1:8" ht="16.5" thickTop="1" x14ac:dyDescent="0.25">
      <c r="A6" s="35" t="s">
        <v>20</v>
      </c>
      <c r="B6" s="3"/>
      <c r="C6" s="14"/>
      <c r="D6" s="17"/>
      <c r="E6" s="14"/>
      <c r="F6" s="669">
        <f>ROUND(D6*E6,2)</f>
        <v>0</v>
      </c>
      <c r="G6" s="19">
        <f>ROUND($F$1*E6,2)</f>
        <v>0</v>
      </c>
      <c r="H6" s="670">
        <f>ROUND(D6*G6,2)</f>
        <v>0</v>
      </c>
    </row>
    <row r="7" spans="1:8" ht="15.75" x14ac:dyDescent="0.25">
      <c r="A7" s="35"/>
      <c r="B7" s="3"/>
      <c r="C7" s="14"/>
      <c r="D7" s="17"/>
      <c r="E7" s="14"/>
      <c r="F7" s="669">
        <f>ROUND(D7*E7,2)</f>
        <v>0</v>
      </c>
      <c r="G7" s="19">
        <f>ROUND($F$1*E7,2)</f>
        <v>0</v>
      </c>
      <c r="H7" s="670">
        <f>ROUND(D7*G7,2)</f>
        <v>0</v>
      </c>
    </row>
    <row r="8" spans="1:8" ht="15.75" x14ac:dyDescent="0.25">
      <c r="A8" s="35"/>
      <c r="B8" s="3"/>
      <c r="C8" s="14"/>
      <c r="D8" s="17"/>
      <c r="E8" s="16"/>
      <c r="F8" s="669">
        <f t="shared" ref="F8:F26" si="0">ROUND(D8*E8,2)</f>
        <v>0</v>
      </c>
      <c r="G8" s="19">
        <f t="shared" ref="G8:G26" si="1">ROUND($F$1*E8,2)</f>
        <v>0</v>
      </c>
      <c r="H8" s="670">
        <f t="shared" ref="H8:H26" si="2">ROUND(D8*G8,2)</f>
        <v>0</v>
      </c>
    </row>
    <row r="9" spans="1:8" ht="15.75" x14ac:dyDescent="0.25">
      <c r="A9" s="35"/>
      <c r="B9" s="3"/>
      <c r="C9" s="14"/>
      <c r="D9" s="16"/>
      <c r="E9" s="16"/>
      <c r="F9" s="669">
        <f t="shared" si="0"/>
        <v>0</v>
      </c>
      <c r="G9" s="19">
        <f t="shared" si="1"/>
        <v>0</v>
      </c>
      <c r="H9" s="670">
        <f t="shared" si="2"/>
        <v>0</v>
      </c>
    </row>
    <row r="10" spans="1:8" ht="15.75" x14ac:dyDescent="0.25">
      <c r="A10" s="35"/>
      <c r="B10" s="3"/>
      <c r="C10" s="14"/>
      <c r="D10" s="17"/>
      <c r="E10" s="14"/>
      <c r="F10" s="669">
        <f t="shared" si="0"/>
        <v>0</v>
      </c>
      <c r="G10" s="19">
        <f t="shared" si="1"/>
        <v>0</v>
      </c>
      <c r="H10" s="670">
        <f t="shared" si="2"/>
        <v>0</v>
      </c>
    </row>
    <row r="11" spans="1:8" ht="15.75" x14ac:dyDescent="0.25">
      <c r="A11" s="35"/>
      <c r="B11" s="3"/>
      <c r="C11" s="14"/>
      <c r="D11" s="16"/>
      <c r="E11" s="14"/>
      <c r="F11" s="669">
        <f t="shared" si="0"/>
        <v>0</v>
      </c>
      <c r="G11" s="19">
        <f t="shared" si="1"/>
        <v>0</v>
      </c>
      <c r="H11" s="670">
        <f t="shared" si="2"/>
        <v>0</v>
      </c>
    </row>
    <row r="12" spans="1:8" ht="15.75" x14ac:dyDescent="0.25">
      <c r="A12" s="35"/>
      <c r="B12" s="3"/>
      <c r="C12" s="14"/>
      <c r="D12" s="16"/>
      <c r="E12" s="14"/>
      <c r="F12" s="669">
        <f t="shared" si="0"/>
        <v>0</v>
      </c>
      <c r="G12" s="19">
        <f t="shared" si="1"/>
        <v>0</v>
      </c>
      <c r="H12" s="670">
        <f t="shared" si="2"/>
        <v>0</v>
      </c>
    </row>
    <row r="13" spans="1:8" ht="15.75" x14ac:dyDescent="0.25">
      <c r="A13" s="35"/>
      <c r="B13" s="3"/>
      <c r="C13" s="14"/>
      <c r="D13" s="14"/>
      <c r="E13" s="14"/>
      <c r="F13" s="669">
        <f t="shared" si="0"/>
        <v>0</v>
      </c>
      <c r="G13" s="19">
        <f t="shared" si="1"/>
        <v>0</v>
      </c>
      <c r="H13" s="670">
        <f t="shared" si="2"/>
        <v>0</v>
      </c>
    </row>
    <row r="14" spans="1:8" ht="15.75" x14ac:dyDescent="0.25">
      <c r="A14" s="35"/>
      <c r="B14" s="3"/>
      <c r="C14" s="14"/>
      <c r="D14" s="14"/>
      <c r="E14" s="14"/>
      <c r="F14" s="669">
        <f t="shared" si="0"/>
        <v>0</v>
      </c>
      <c r="G14" s="19">
        <f t="shared" si="1"/>
        <v>0</v>
      </c>
      <c r="H14" s="670">
        <f t="shared" si="2"/>
        <v>0</v>
      </c>
    </row>
    <row r="15" spans="1:8" ht="15.75" x14ac:dyDescent="0.25">
      <c r="A15" s="35"/>
      <c r="B15" s="3"/>
      <c r="C15" s="14"/>
      <c r="D15" s="14"/>
      <c r="E15" s="14"/>
      <c r="F15" s="669">
        <f t="shared" si="0"/>
        <v>0</v>
      </c>
      <c r="G15" s="19">
        <f t="shared" si="1"/>
        <v>0</v>
      </c>
      <c r="H15" s="670">
        <f t="shared" si="2"/>
        <v>0</v>
      </c>
    </row>
    <row r="16" spans="1:8" ht="15.75" x14ac:dyDescent="0.25">
      <c r="A16" s="35"/>
      <c r="B16" s="3"/>
      <c r="C16" s="14"/>
      <c r="D16" s="14"/>
      <c r="E16" s="14"/>
      <c r="F16" s="669">
        <f t="shared" si="0"/>
        <v>0</v>
      </c>
      <c r="G16" s="19">
        <f t="shared" si="1"/>
        <v>0</v>
      </c>
      <c r="H16" s="670">
        <f t="shared" si="2"/>
        <v>0</v>
      </c>
    </row>
    <row r="17" spans="1:8" ht="15.75" x14ac:dyDescent="0.25">
      <c r="A17" s="35"/>
      <c r="B17" s="3"/>
      <c r="C17" s="14"/>
      <c r="D17" s="14"/>
      <c r="E17" s="14"/>
      <c r="F17" s="669">
        <f t="shared" si="0"/>
        <v>0</v>
      </c>
      <c r="G17" s="19">
        <f t="shared" si="1"/>
        <v>0</v>
      </c>
      <c r="H17" s="670">
        <f t="shared" si="2"/>
        <v>0</v>
      </c>
    </row>
    <row r="18" spans="1:8" ht="15.75" x14ac:dyDescent="0.25">
      <c r="A18" s="35"/>
      <c r="B18" s="3"/>
      <c r="C18" s="14"/>
      <c r="D18" s="14"/>
      <c r="E18" s="14"/>
      <c r="F18" s="669">
        <f t="shared" si="0"/>
        <v>0</v>
      </c>
      <c r="G18" s="19">
        <f t="shared" si="1"/>
        <v>0</v>
      </c>
      <c r="H18" s="670">
        <f t="shared" si="2"/>
        <v>0</v>
      </c>
    </row>
    <row r="19" spans="1:8" ht="15.75" x14ac:dyDescent="0.25">
      <c r="A19" s="35"/>
      <c r="B19" s="3"/>
      <c r="C19" s="14"/>
      <c r="D19" s="14"/>
      <c r="E19" s="14"/>
      <c r="F19" s="669">
        <f t="shared" si="0"/>
        <v>0</v>
      </c>
      <c r="G19" s="19">
        <f t="shared" si="1"/>
        <v>0</v>
      </c>
      <c r="H19" s="670">
        <f t="shared" si="2"/>
        <v>0</v>
      </c>
    </row>
    <row r="20" spans="1:8" ht="15.75" x14ac:dyDescent="0.25">
      <c r="A20" s="35"/>
      <c r="B20" s="3"/>
      <c r="C20" s="14"/>
      <c r="D20" s="14"/>
      <c r="E20" s="14"/>
      <c r="F20" s="669">
        <f t="shared" si="0"/>
        <v>0</v>
      </c>
      <c r="G20" s="19">
        <f t="shared" si="1"/>
        <v>0</v>
      </c>
      <c r="H20" s="670">
        <f t="shared" si="2"/>
        <v>0</v>
      </c>
    </row>
    <row r="21" spans="1:8" ht="15.75" x14ac:dyDescent="0.25">
      <c r="A21" s="35"/>
      <c r="B21" s="3"/>
      <c r="C21" s="14"/>
      <c r="D21" s="14"/>
      <c r="E21" s="14"/>
      <c r="F21" s="669">
        <f t="shared" si="0"/>
        <v>0</v>
      </c>
      <c r="G21" s="19">
        <f t="shared" si="1"/>
        <v>0</v>
      </c>
      <c r="H21" s="670">
        <f t="shared" si="2"/>
        <v>0</v>
      </c>
    </row>
    <row r="22" spans="1:8" ht="15.75" x14ac:dyDescent="0.25">
      <c r="A22" s="35"/>
      <c r="B22" s="3"/>
      <c r="C22" s="14"/>
      <c r="D22" s="14"/>
      <c r="E22" s="14"/>
      <c r="F22" s="669">
        <f t="shared" si="0"/>
        <v>0</v>
      </c>
      <c r="G22" s="19">
        <f t="shared" si="1"/>
        <v>0</v>
      </c>
      <c r="H22" s="670">
        <f t="shared" si="2"/>
        <v>0</v>
      </c>
    </row>
    <row r="23" spans="1:8" ht="15.75" x14ac:dyDescent="0.25">
      <c r="A23" s="35"/>
      <c r="B23" s="3"/>
      <c r="C23" s="14"/>
      <c r="D23" s="14"/>
      <c r="E23" s="14"/>
      <c r="F23" s="669">
        <f t="shared" ref="F23:F24" si="3">ROUND(D23*E23,2)</f>
        <v>0</v>
      </c>
      <c r="G23" s="19">
        <f t="shared" ref="G23:G24" si="4">ROUND($F$1*E23,2)</f>
        <v>0</v>
      </c>
      <c r="H23" s="670">
        <f t="shared" ref="H23:H24" si="5">ROUND(D23*G23,2)</f>
        <v>0</v>
      </c>
    </row>
    <row r="24" spans="1:8" ht="15.75" x14ac:dyDescent="0.25">
      <c r="A24" s="35"/>
      <c r="B24" s="3"/>
      <c r="C24" s="14"/>
      <c r="D24" s="14"/>
      <c r="E24" s="14"/>
      <c r="F24" s="669">
        <f t="shared" si="3"/>
        <v>0</v>
      </c>
      <c r="G24" s="19">
        <f t="shared" si="4"/>
        <v>0</v>
      </c>
      <c r="H24" s="670">
        <f t="shared" si="5"/>
        <v>0</v>
      </c>
    </row>
    <row r="25" spans="1:8" ht="15.75" x14ac:dyDescent="0.25">
      <c r="A25" s="35"/>
      <c r="B25" s="3"/>
      <c r="C25" s="14"/>
      <c r="D25" s="14"/>
      <c r="E25" s="14"/>
      <c r="F25" s="669">
        <f t="shared" si="0"/>
        <v>0</v>
      </c>
      <c r="G25" s="19">
        <f t="shared" si="1"/>
        <v>0</v>
      </c>
      <c r="H25" s="670">
        <f t="shared" si="2"/>
        <v>0</v>
      </c>
    </row>
    <row r="26" spans="1:8" ht="15.75" x14ac:dyDescent="0.25">
      <c r="A26" s="35"/>
      <c r="B26" s="3"/>
      <c r="C26" s="14"/>
      <c r="D26" s="14"/>
      <c r="E26" s="14"/>
      <c r="F26" s="669">
        <f t="shared" si="0"/>
        <v>0</v>
      </c>
      <c r="G26" s="19">
        <f t="shared" si="1"/>
        <v>0</v>
      </c>
      <c r="H26" s="670">
        <f t="shared" si="2"/>
        <v>0</v>
      </c>
    </row>
    <row r="27" spans="1:8" ht="16.5" thickBot="1" x14ac:dyDescent="0.3">
      <c r="A27" s="11"/>
      <c r="B27" s="4"/>
      <c r="C27" s="15"/>
      <c r="D27" s="15"/>
      <c r="E27" s="15"/>
      <c r="F27" s="669">
        <f>ROUND(D27*E27,2)</f>
        <v>0</v>
      </c>
      <c r="G27" s="19">
        <f>ROUND($F$1*E27,2)</f>
        <v>0</v>
      </c>
      <c r="H27" s="670">
        <f>ROUND(D27*G27,2)</f>
        <v>0</v>
      </c>
    </row>
    <row r="28" spans="1:8" ht="15.75" thickTop="1" x14ac:dyDescent="0.25">
      <c r="D28" s="1"/>
      <c r="E28" s="1468" t="s">
        <v>8</v>
      </c>
      <c r="F28" s="1472">
        <f>SUM(F6:F27)</f>
        <v>0</v>
      </c>
      <c r="G28" s="1470" t="s">
        <v>9</v>
      </c>
      <c r="H28" s="1472">
        <f>SUM(H6:H27)</f>
        <v>0</v>
      </c>
    </row>
    <row r="29" spans="1:8" ht="15.75" thickBot="1" x14ac:dyDescent="0.3">
      <c r="D29" s="2"/>
      <c r="E29" s="1469"/>
      <c r="F29" s="1473"/>
      <c r="G29" s="1471"/>
      <c r="H29" s="1473"/>
    </row>
    <row r="30" spans="1:8" ht="15.75" thickTop="1" x14ac:dyDescent="0.25"/>
  </sheetData>
  <mergeCells count="15">
    <mergeCell ref="G2:H2"/>
    <mergeCell ref="E3:E4"/>
    <mergeCell ref="C1:E1"/>
    <mergeCell ref="A2:A4"/>
    <mergeCell ref="B2:B4"/>
    <mergeCell ref="C2:C4"/>
    <mergeCell ref="D2:D4"/>
    <mergeCell ref="E2:F2"/>
    <mergeCell ref="E28:E29"/>
    <mergeCell ref="G28:G29"/>
    <mergeCell ref="F28:F29"/>
    <mergeCell ref="H28:H29"/>
    <mergeCell ref="F3:F4"/>
    <mergeCell ref="G3:G4"/>
    <mergeCell ref="H3:H4"/>
  </mergeCells>
  <phoneticPr fontId="8" type="noConversion"/>
  <pageMargins left="0.25" right="0.25" top="0.75" bottom="0.75" header="0.3" footer="0.3"/>
  <pageSetup paperSize="9" orientation="landscape" r:id="rId1"/>
  <headerFooter>
    <oddHeader>&amp;L&amp;"Calibri,Normal"&amp;12EL RHALMANI OUSSAMA&amp;C&amp;"Calibri,Gras"&amp;20DEVIS ESTIMATIF&amp;R&amp;"Calibri,Normal"&amp;12TS 424 EP</oddHeader>
    <oddFooter>&amp;CPage &amp;P de &amp;N</oddFooter>
  </headerFooter>
  <ignoredErrors>
    <ignoredError sqref="A6 A27" numberStoredAsText="1"/>
  </ignoredErrors>
  <extLst>
    <ext xmlns:x14="http://schemas.microsoft.com/office/spreadsheetml/2009/9/main" uri="{CCE6A557-97BC-4b89-ADB6-D9C93CAAB3DF}">
      <x14:dataValidations xmlns:xm="http://schemas.microsoft.com/office/excel/2006/main" count="1">
        <x14:dataValidation type="list" allowBlank="1" showInputMessage="1" showErrorMessage="1" xr:uid="{06B028D5-544C-4EA4-8362-7CBC1E75A29F}">
          <x14:formula1>
            <xm:f>Notes!$B$3:$B$13</xm:f>
          </x14:formula1>
          <xm:sqref>C5:C27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199D-73F2-4887-B212-9794A773D229}">
  <dimension ref="A1:O30"/>
  <sheetViews>
    <sheetView workbookViewId="0">
      <selection activeCell="E9" sqref="E9"/>
    </sheetView>
  </sheetViews>
  <sheetFormatPr baseColWidth="10" defaultRowHeight="12.75" outlineLevelCol="1" x14ac:dyDescent="0.2"/>
  <cols>
    <col min="1" max="1" width="11.42578125" style="737"/>
    <col min="2" max="2" width="39.85546875" style="737" customWidth="1"/>
    <col min="3" max="4" width="12.42578125" style="737" customWidth="1"/>
    <col min="5" max="5" width="15.42578125" style="737" customWidth="1"/>
    <col min="6" max="6" width="10.140625" style="737" bestFit="1" customWidth="1"/>
    <col min="7" max="7" width="18.5703125" style="737" hidden="1" customWidth="1" outlineLevel="1"/>
    <col min="8" max="8" width="9.7109375" style="737" hidden="1" customWidth="1" outlineLevel="1"/>
    <col min="9" max="9" width="18.7109375" style="737" hidden="1" customWidth="1" outlineLevel="1"/>
    <col min="10" max="10" width="14.85546875" style="737" hidden="1" customWidth="1" outlineLevel="1"/>
    <col min="11" max="11" width="8.28515625" style="737" hidden="1" customWidth="1" outlineLevel="1"/>
    <col min="12" max="12" width="6.85546875" style="737" hidden="1" customWidth="1" outlineLevel="1"/>
    <col min="13" max="13" width="12.28515625" style="737" hidden="1" customWidth="1" outlineLevel="1"/>
    <col min="14" max="14" width="16.42578125" style="737" hidden="1" customWidth="1" outlineLevel="1"/>
    <col min="15" max="15" width="11.140625" style="737" customWidth="1" collapsed="1"/>
    <col min="16" max="256" width="11.42578125" style="737" customWidth="1"/>
    <col min="257" max="16384" width="11.42578125" style="737"/>
  </cols>
  <sheetData>
    <row r="1" spans="1:14" ht="27" customHeight="1" x14ac:dyDescent="0.2">
      <c r="A1" s="1476" t="s">
        <v>1139</v>
      </c>
      <c r="B1" s="1477"/>
      <c r="C1" s="1477"/>
      <c r="D1" s="1477"/>
      <c r="E1" s="1478"/>
    </row>
    <row r="2" spans="1:14" ht="9.75" customHeight="1" x14ac:dyDescent="0.2">
      <c r="B2" s="738"/>
      <c r="C2" s="738"/>
      <c r="D2" s="738"/>
      <c r="E2" s="738"/>
    </row>
    <row r="3" spans="1:14" ht="24" customHeight="1" x14ac:dyDescent="0.2">
      <c r="A3" s="739" t="s">
        <v>523</v>
      </c>
      <c r="B3" s="740"/>
      <c r="C3" s="741" t="s">
        <v>57</v>
      </c>
      <c r="D3" s="741"/>
      <c r="E3" s="742">
        <f ca="1">TODAY()</f>
        <v>46093</v>
      </c>
    </row>
    <row r="4" spans="1:14" x14ac:dyDescent="0.2">
      <c r="B4" s="743"/>
      <c r="C4" s="743"/>
      <c r="D4" s="743"/>
      <c r="E4" s="743"/>
    </row>
    <row r="5" spans="1:14" ht="17.25" customHeight="1" x14ac:dyDescent="0.2">
      <c r="A5" s="1479" t="s">
        <v>333</v>
      </c>
      <c r="B5" s="1480"/>
      <c r="C5" s="1479" t="s">
        <v>1140</v>
      </c>
      <c r="D5" s="1481"/>
      <c r="E5" s="1480"/>
      <c r="F5" s="744" t="s">
        <v>1141</v>
      </c>
    </row>
    <row r="6" spans="1:14" ht="15" x14ac:dyDescent="0.2">
      <c r="A6" s="1482" t="s">
        <v>1142</v>
      </c>
      <c r="B6" s="1483"/>
      <c r="C6" s="745"/>
      <c r="D6" s="745" t="s">
        <v>169</v>
      </c>
      <c r="E6" s="746">
        <v>1</v>
      </c>
      <c r="F6" s="747"/>
      <c r="G6" s="737">
        <v>150000</v>
      </c>
    </row>
    <row r="7" spans="1:14" ht="15" x14ac:dyDescent="0.2">
      <c r="A7" s="1474" t="s">
        <v>808</v>
      </c>
      <c r="B7" s="1475"/>
      <c r="C7" s="748">
        <v>0.1</v>
      </c>
      <c r="D7" s="749">
        <f>IF(F7="DS",C7,IF(F7="PV HT",C7/(1-$I$15),IF(F7="DT",C7/(1-$I$17),C7/(1-$I$19))))</f>
        <v>0.1</v>
      </c>
      <c r="E7" s="750">
        <f>ROUND(E6*C7,2)</f>
        <v>0.1</v>
      </c>
      <c r="F7" s="751" t="s">
        <v>1146</v>
      </c>
      <c r="G7" s="737">
        <f>C7*G6</f>
        <v>15000</v>
      </c>
      <c r="I7" s="737" t="s">
        <v>1144</v>
      </c>
    </row>
    <row r="8" spans="1:14" ht="15" x14ac:dyDescent="0.2">
      <c r="A8" s="1474" t="s">
        <v>1145</v>
      </c>
      <c r="B8" s="1475"/>
      <c r="C8" s="752"/>
      <c r="D8" s="752"/>
      <c r="E8" s="765">
        <f>SUM(E6:E7)</f>
        <v>1.1000000000000001</v>
      </c>
      <c r="F8" s="747"/>
      <c r="G8" s="737">
        <f>E8*G6</f>
        <v>165000</v>
      </c>
      <c r="I8" s="737">
        <f>SUMIF(F9:F13,"=PV HT",C9:C13)</f>
        <v>0.08</v>
      </c>
      <c r="M8" s="737" t="s">
        <v>1146</v>
      </c>
    </row>
    <row r="9" spans="1:14" ht="15" x14ac:dyDescent="0.2">
      <c r="A9" s="1474" t="s">
        <v>813</v>
      </c>
      <c r="B9" s="1475"/>
      <c r="C9" s="748">
        <v>0.15</v>
      </c>
      <c r="D9" s="749">
        <f>IF(F9="DT",C9,IF(F9="PR",C9/(1-$I$12),C9/(1-$I$8)))</f>
        <v>0.15</v>
      </c>
      <c r="E9" s="765">
        <f>E8*D9</f>
        <v>0.16500000000000001</v>
      </c>
      <c r="F9" s="751" t="s">
        <v>1147</v>
      </c>
      <c r="G9" s="753">
        <f>G8*D9</f>
        <v>24750</v>
      </c>
      <c r="M9" s="737" t="s">
        <v>1147</v>
      </c>
      <c r="N9" s="737" t="s">
        <v>1148</v>
      </c>
    </row>
    <row r="10" spans="1:14" ht="15" x14ac:dyDescent="0.2">
      <c r="A10" s="1474" t="s">
        <v>1149</v>
      </c>
      <c r="B10" s="1475"/>
      <c r="C10" s="748">
        <v>0</v>
      </c>
      <c r="D10" s="754">
        <f>IF(F10="DT",C10,IF(F10="PR",C10/(1-$I$12),C10/(1-$I$8)))</f>
        <v>0</v>
      </c>
      <c r="E10" s="765">
        <f>E8*D10</f>
        <v>0</v>
      </c>
      <c r="F10" s="751"/>
      <c r="G10" s="753">
        <f>D10*G8</f>
        <v>0</v>
      </c>
      <c r="I10" s="737" t="s">
        <v>1150</v>
      </c>
      <c r="M10" s="737" t="s">
        <v>1148</v>
      </c>
      <c r="N10" s="737" t="s">
        <v>1143</v>
      </c>
    </row>
    <row r="11" spans="1:14" ht="15" x14ac:dyDescent="0.2">
      <c r="A11" s="1474" t="s">
        <v>820</v>
      </c>
      <c r="B11" s="1475"/>
      <c r="C11" s="748">
        <v>0</v>
      </c>
      <c r="D11" s="754">
        <f>IF(F11="DT",C11,IF(F11="PR",C11/(1-$I$12),C11/(1-$I$8)))</f>
        <v>0</v>
      </c>
      <c r="E11" s="765">
        <f>E9*D11</f>
        <v>0</v>
      </c>
      <c r="F11" s="751"/>
      <c r="G11" s="753"/>
    </row>
    <row r="12" spans="1:14" ht="15" x14ac:dyDescent="0.2">
      <c r="A12" s="1474" t="s">
        <v>1151</v>
      </c>
      <c r="B12" s="1475"/>
      <c r="C12" s="752">
        <v>0</v>
      </c>
      <c r="D12" s="752"/>
      <c r="E12" s="765">
        <f>E8+E9+E10</f>
        <v>1.2650000000000001</v>
      </c>
      <c r="F12" s="747"/>
      <c r="G12" s="737">
        <f>E12*G6</f>
        <v>189750.00000000003</v>
      </c>
      <c r="I12" s="737">
        <f>SUMIF(F9:F10,"=PR",C9:C10)</f>
        <v>0</v>
      </c>
      <c r="M12" s="737" t="s">
        <v>1143</v>
      </c>
    </row>
    <row r="13" spans="1:14" ht="15" x14ac:dyDescent="0.2">
      <c r="A13" s="1474" t="s">
        <v>822</v>
      </c>
      <c r="B13" s="1475"/>
      <c r="C13" s="755">
        <v>0.08</v>
      </c>
      <c r="D13" s="756">
        <f>IF(F13="PR",C13,C13/(1-C13))</f>
        <v>8.6956521739130432E-2</v>
      </c>
      <c r="E13" s="1567">
        <f>E12*D13</f>
        <v>0.11000000000000001</v>
      </c>
      <c r="F13" s="751" t="s">
        <v>1143</v>
      </c>
      <c r="G13" s="737">
        <f>G12*D13</f>
        <v>16500.000000000004</v>
      </c>
    </row>
    <row r="14" spans="1:14" ht="15" customHeight="1" x14ac:dyDescent="0.2">
      <c r="A14" s="1495" t="s">
        <v>1152</v>
      </c>
      <c r="B14" s="1496"/>
      <c r="C14" s="1484">
        <f>E12+E13</f>
        <v>1.3750000000000002</v>
      </c>
      <c r="D14" s="1485"/>
      <c r="E14" s="1486"/>
      <c r="F14" s="747"/>
      <c r="G14" s="737">
        <f>G6*C14</f>
        <v>206250.00000000003</v>
      </c>
      <c r="I14" s="757" t="s">
        <v>1153</v>
      </c>
      <c r="J14" s="1487" t="s">
        <v>1154</v>
      </c>
    </row>
    <row r="15" spans="1:14" ht="15" customHeight="1" x14ac:dyDescent="0.2">
      <c r="A15" s="758"/>
      <c r="B15" s="758"/>
      <c r="C15" s="759"/>
      <c r="D15" s="759"/>
      <c r="E15" s="759"/>
      <c r="F15" s="747"/>
      <c r="I15" s="760">
        <f>SUMIF(F7:F13,"=PV HT",C7:C13)</f>
        <v>0.08</v>
      </c>
      <c r="J15" s="1488"/>
    </row>
    <row r="16" spans="1:14" ht="21.75" customHeight="1" x14ac:dyDescent="0.2">
      <c r="A16" s="1490" t="s">
        <v>1155</v>
      </c>
      <c r="B16" s="1491"/>
      <c r="C16" s="1492">
        <f>C14/E6</f>
        <v>1.3750000000000002</v>
      </c>
      <c r="D16" s="1493"/>
      <c r="E16" s="1494"/>
      <c r="F16" s="747"/>
      <c r="I16" s="760" t="s">
        <v>1156</v>
      </c>
      <c r="J16" s="1488"/>
    </row>
    <row r="17" spans="2:10" ht="15" customHeight="1" x14ac:dyDescent="0.2">
      <c r="B17" s="747"/>
      <c r="C17" s="747"/>
      <c r="D17" s="747"/>
      <c r="E17" s="747"/>
      <c r="F17" s="747"/>
      <c r="I17" s="760">
        <f>SUMIF(F7:F13,"=DT",C7:C13)</f>
        <v>0.15</v>
      </c>
      <c r="J17" s="1488"/>
    </row>
    <row r="18" spans="2:10" ht="15" customHeight="1" x14ac:dyDescent="0.2">
      <c r="B18" s="747"/>
      <c r="C18" s="747"/>
      <c r="D18" s="747"/>
      <c r="E18" s="747"/>
      <c r="F18" s="747"/>
      <c r="I18" s="760" t="s">
        <v>1157</v>
      </c>
      <c r="J18" s="1488"/>
    </row>
    <row r="19" spans="2:10" x14ac:dyDescent="0.2">
      <c r="I19" s="761">
        <f>SUMIF(F7:F13,"=PR",C7:C13)</f>
        <v>0</v>
      </c>
      <c r="J19" s="1489"/>
    </row>
    <row r="21" spans="2:10" x14ac:dyDescent="0.2">
      <c r="I21" s="762"/>
    </row>
    <row r="27" spans="2:10" x14ac:dyDescent="0.2">
      <c r="D27" s="763"/>
      <c r="I27" s="762"/>
    </row>
    <row r="30" spans="2:10" x14ac:dyDescent="0.2">
      <c r="G30" s="764"/>
    </row>
  </sheetData>
  <mergeCells count="16">
    <mergeCell ref="C14:E14"/>
    <mergeCell ref="J14:J19"/>
    <mergeCell ref="A16:B16"/>
    <mergeCell ref="C16:E16"/>
    <mergeCell ref="A9:B9"/>
    <mergeCell ref="A10:B10"/>
    <mergeCell ref="A11:B11"/>
    <mergeCell ref="A12:B12"/>
    <mergeCell ref="A13:B13"/>
    <mergeCell ref="A14:B14"/>
    <mergeCell ref="A8:B8"/>
    <mergeCell ref="A1:E1"/>
    <mergeCell ref="A5:B5"/>
    <mergeCell ref="C5:E5"/>
    <mergeCell ref="A6:B6"/>
    <mergeCell ref="A7:B7"/>
  </mergeCells>
  <conditionalFormatting sqref="G9:G11">
    <cfRule type="cellIs" dxfId="0" priority="1" operator="equal">
      <formula>"ERREUR"</formula>
    </cfRule>
  </conditionalFormatting>
  <dataValidations count="2">
    <dataValidation type="list" allowBlank="1" showInputMessage="1" showErrorMessage="1" sqref="F7 F9:F11" xr:uid="{16CDC178-0DB8-481C-8E75-DB8E5693C327}">
      <formula1>$M$8:$M$12</formula1>
    </dataValidation>
    <dataValidation type="list" allowBlank="1" showInputMessage="1" showErrorMessage="1" sqref="F13" xr:uid="{B7319629-DE8F-4592-97C8-4A7A53D3E97F}">
      <formula1>$N$9:$N$10</formula1>
    </dataValidation>
  </dataValidations>
  <printOptions horizontalCentered="1"/>
  <pageMargins left="0.70866141732283472" right="0.70866141732283472" top="0.74803149606299213" bottom="0.74803149606299213" header="0.31496062992125984" footer="0.31496062992125984"/>
  <pageSetup paperSize="9" orientation="portrait" r:id="rId1"/>
  <ignoredErrors>
    <ignoredError sqref="D7:D13" unlocked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06D1-5627-4E82-ADC8-438179D05804}">
  <dimension ref="A1:G82"/>
  <sheetViews>
    <sheetView view="pageLayout" zoomScaleNormal="100" zoomScaleSheetLayoutView="100" workbookViewId="0">
      <selection activeCell="A39" sqref="A39:XFD39"/>
    </sheetView>
  </sheetViews>
  <sheetFormatPr baseColWidth="10" defaultRowHeight="15.75" x14ac:dyDescent="0.25"/>
  <cols>
    <col min="1" max="1" width="36.140625" style="356" bestFit="1" customWidth="1"/>
    <col min="2" max="3" width="14.85546875" style="356" bestFit="1" customWidth="1"/>
    <col min="4" max="5" width="17" style="356" customWidth="1"/>
    <col min="6" max="7" width="11.7109375" style="356" bestFit="1" customWidth="1"/>
    <col min="8" max="256" width="11.42578125" style="356"/>
    <col min="257" max="257" width="36.7109375" style="356" customWidth="1"/>
    <col min="258" max="258" width="15.7109375" style="356" customWidth="1"/>
    <col min="259" max="259" width="15" style="356" customWidth="1"/>
    <col min="260" max="260" width="17.7109375" style="356" customWidth="1"/>
    <col min="261" max="261" width="19.42578125" style="356" customWidth="1"/>
    <col min="262" max="263" width="11.7109375" style="356" bestFit="1" customWidth="1"/>
    <col min="264" max="512" width="11.42578125" style="356"/>
    <col min="513" max="513" width="36.7109375" style="356" customWidth="1"/>
    <col min="514" max="514" width="15.7109375" style="356" customWidth="1"/>
    <col min="515" max="515" width="15" style="356" customWidth="1"/>
    <col min="516" max="516" width="17.7109375" style="356" customWidth="1"/>
    <col min="517" max="517" width="19.42578125" style="356" customWidth="1"/>
    <col min="518" max="519" width="11.7109375" style="356" bestFit="1" customWidth="1"/>
    <col min="520" max="768" width="11.42578125" style="356"/>
    <col min="769" max="769" width="36.7109375" style="356" customWidth="1"/>
    <col min="770" max="770" width="15.7109375" style="356" customWidth="1"/>
    <col min="771" max="771" width="15" style="356" customWidth="1"/>
    <col min="772" max="772" width="17.7109375" style="356" customWidth="1"/>
    <col min="773" max="773" width="19.42578125" style="356" customWidth="1"/>
    <col min="774" max="775" width="11.7109375" style="356" bestFit="1" customWidth="1"/>
    <col min="776" max="1024" width="11.42578125" style="356"/>
    <col min="1025" max="1025" width="36.7109375" style="356" customWidth="1"/>
    <col min="1026" max="1026" width="15.7109375" style="356" customWidth="1"/>
    <col min="1027" max="1027" width="15" style="356" customWidth="1"/>
    <col min="1028" max="1028" width="17.7109375" style="356" customWidth="1"/>
    <col min="1029" max="1029" width="19.42578125" style="356" customWidth="1"/>
    <col min="1030" max="1031" width="11.7109375" style="356" bestFit="1" customWidth="1"/>
    <col min="1032" max="1280" width="11.42578125" style="356"/>
    <col min="1281" max="1281" width="36.7109375" style="356" customWidth="1"/>
    <col min="1282" max="1282" width="15.7109375" style="356" customWidth="1"/>
    <col min="1283" max="1283" width="15" style="356" customWidth="1"/>
    <col min="1284" max="1284" width="17.7109375" style="356" customWidth="1"/>
    <col min="1285" max="1285" width="19.42578125" style="356" customWidth="1"/>
    <col min="1286" max="1287" width="11.7109375" style="356" bestFit="1" customWidth="1"/>
    <col min="1288" max="1536" width="11.42578125" style="356"/>
    <col min="1537" max="1537" width="36.7109375" style="356" customWidth="1"/>
    <col min="1538" max="1538" width="15.7109375" style="356" customWidth="1"/>
    <col min="1539" max="1539" width="15" style="356" customWidth="1"/>
    <col min="1540" max="1540" width="17.7109375" style="356" customWidth="1"/>
    <col min="1541" max="1541" width="19.42578125" style="356" customWidth="1"/>
    <col min="1542" max="1543" width="11.7109375" style="356" bestFit="1" customWidth="1"/>
    <col min="1544" max="1792" width="11.42578125" style="356"/>
    <col min="1793" max="1793" width="36.7109375" style="356" customWidth="1"/>
    <col min="1794" max="1794" width="15.7109375" style="356" customWidth="1"/>
    <col min="1795" max="1795" width="15" style="356" customWidth="1"/>
    <col min="1796" max="1796" width="17.7109375" style="356" customWidth="1"/>
    <col min="1797" max="1797" width="19.42578125" style="356" customWidth="1"/>
    <col min="1798" max="1799" width="11.7109375" style="356" bestFit="1" customWidth="1"/>
    <col min="1800" max="2048" width="11.42578125" style="356"/>
    <col min="2049" max="2049" width="36.7109375" style="356" customWidth="1"/>
    <col min="2050" max="2050" width="15.7109375" style="356" customWidth="1"/>
    <col min="2051" max="2051" width="15" style="356" customWidth="1"/>
    <col min="2052" max="2052" width="17.7109375" style="356" customWidth="1"/>
    <col min="2053" max="2053" width="19.42578125" style="356" customWidth="1"/>
    <col min="2054" max="2055" width="11.7109375" style="356" bestFit="1" customWidth="1"/>
    <col min="2056" max="2304" width="11.42578125" style="356"/>
    <col min="2305" max="2305" width="36.7109375" style="356" customWidth="1"/>
    <col min="2306" max="2306" width="15.7109375" style="356" customWidth="1"/>
    <col min="2307" max="2307" width="15" style="356" customWidth="1"/>
    <col min="2308" max="2308" width="17.7109375" style="356" customWidth="1"/>
    <col min="2309" max="2309" width="19.42578125" style="356" customWidth="1"/>
    <col min="2310" max="2311" width="11.7109375" style="356" bestFit="1" customWidth="1"/>
    <col min="2312" max="2560" width="11.42578125" style="356"/>
    <col min="2561" max="2561" width="36.7109375" style="356" customWidth="1"/>
    <col min="2562" max="2562" width="15.7109375" style="356" customWidth="1"/>
    <col min="2563" max="2563" width="15" style="356" customWidth="1"/>
    <col min="2564" max="2564" width="17.7109375" style="356" customWidth="1"/>
    <col min="2565" max="2565" width="19.42578125" style="356" customWidth="1"/>
    <col min="2566" max="2567" width="11.7109375" style="356" bestFit="1" customWidth="1"/>
    <col min="2568" max="2816" width="11.42578125" style="356"/>
    <col min="2817" max="2817" width="36.7109375" style="356" customWidth="1"/>
    <col min="2818" max="2818" width="15.7109375" style="356" customWidth="1"/>
    <col min="2819" max="2819" width="15" style="356" customWidth="1"/>
    <col min="2820" max="2820" width="17.7109375" style="356" customWidth="1"/>
    <col min="2821" max="2821" width="19.42578125" style="356" customWidth="1"/>
    <col min="2822" max="2823" width="11.7109375" style="356" bestFit="1" customWidth="1"/>
    <col min="2824" max="3072" width="11.42578125" style="356"/>
    <col min="3073" max="3073" width="36.7109375" style="356" customWidth="1"/>
    <col min="3074" max="3074" width="15.7109375" style="356" customWidth="1"/>
    <col min="3075" max="3075" width="15" style="356" customWidth="1"/>
    <col min="3076" max="3076" width="17.7109375" style="356" customWidth="1"/>
    <col min="3077" max="3077" width="19.42578125" style="356" customWidth="1"/>
    <col min="3078" max="3079" width="11.7109375" style="356" bestFit="1" customWidth="1"/>
    <col min="3080" max="3328" width="11.42578125" style="356"/>
    <col min="3329" max="3329" width="36.7109375" style="356" customWidth="1"/>
    <col min="3330" max="3330" width="15.7109375" style="356" customWidth="1"/>
    <col min="3331" max="3331" width="15" style="356" customWidth="1"/>
    <col min="3332" max="3332" width="17.7109375" style="356" customWidth="1"/>
    <col min="3333" max="3333" width="19.42578125" style="356" customWidth="1"/>
    <col min="3334" max="3335" width="11.7109375" style="356" bestFit="1" customWidth="1"/>
    <col min="3336" max="3584" width="11.42578125" style="356"/>
    <col min="3585" max="3585" width="36.7109375" style="356" customWidth="1"/>
    <col min="3586" max="3586" width="15.7109375" style="356" customWidth="1"/>
    <col min="3587" max="3587" width="15" style="356" customWidth="1"/>
    <col min="3588" max="3588" width="17.7109375" style="356" customWidth="1"/>
    <col min="3589" max="3589" width="19.42578125" style="356" customWidth="1"/>
    <col min="3590" max="3591" width="11.7109375" style="356" bestFit="1" customWidth="1"/>
    <col min="3592" max="3840" width="11.42578125" style="356"/>
    <col min="3841" max="3841" width="36.7109375" style="356" customWidth="1"/>
    <col min="3842" max="3842" width="15.7109375" style="356" customWidth="1"/>
    <col min="3843" max="3843" width="15" style="356" customWidth="1"/>
    <col min="3844" max="3844" width="17.7109375" style="356" customWidth="1"/>
    <col min="3845" max="3845" width="19.42578125" style="356" customWidth="1"/>
    <col min="3846" max="3847" width="11.7109375" style="356" bestFit="1" customWidth="1"/>
    <col min="3848" max="4096" width="11.42578125" style="356"/>
    <col min="4097" max="4097" width="36.7109375" style="356" customWidth="1"/>
    <col min="4098" max="4098" width="15.7109375" style="356" customWidth="1"/>
    <col min="4099" max="4099" width="15" style="356" customWidth="1"/>
    <col min="4100" max="4100" width="17.7109375" style="356" customWidth="1"/>
    <col min="4101" max="4101" width="19.42578125" style="356" customWidth="1"/>
    <col min="4102" max="4103" width="11.7109375" style="356" bestFit="1" customWidth="1"/>
    <col min="4104" max="4352" width="11.42578125" style="356"/>
    <col min="4353" max="4353" width="36.7109375" style="356" customWidth="1"/>
    <col min="4354" max="4354" width="15.7109375" style="356" customWidth="1"/>
    <col min="4355" max="4355" width="15" style="356" customWidth="1"/>
    <col min="4356" max="4356" width="17.7109375" style="356" customWidth="1"/>
    <col min="4357" max="4357" width="19.42578125" style="356" customWidth="1"/>
    <col min="4358" max="4359" width="11.7109375" style="356" bestFit="1" customWidth="1"/>
    <col min="4360" max="4608" width="11.42578125" style="356"/>
    <col min="4609" max="4609" width="36.7109375" style="356" customWidth="1"/>
    <col min="4610" max="4610" width="15.7109375" style="356" customWidth="1"/>
    <col min="4611" max="4611" width="15" style="356" customWidth="1"/>
    <col min="4612" max="4612" width="17.7109375" style="356" customWidth="1"/>
    <col min="4613" max="4613" width="19.42578125" style="356" customWidth="1"/>
    <col min="4614" max="4615" width="11.7109375" style="356" bestFit="1" customWidth="1"/>
    <col min="4616" max="4864" width="11.42578125" style="356"/>
    <col min="4865" max="4865" width="36.7109375" style="356" customWidth="1"/>
    <col min="4866" max="4866" width="15.7109375" style="356" customWidth="1"/>
    <col min="4867" max="4867" width="15" style="356" customWidth="1"/>
    <col min="4868" max="4868" width="17.7109375" style="356" customWidth="1"/>
    <col min="4869" max="4869" width="19.42578125" style="356" customWidth="1"/>
    <col min="4870" max="4871" width="11.7109375" style="356" bestFit="1" customWidth="1"/>
    <col min="4872" max="5120" width="11.42578125" style="356"/>
    <col min="5121" max="5121" width="36.7109375" style="356" customWidth="1"/>
    <col min="5122" max="5122" width="15.7109375" style="356" customWidth="1"/>
    <col min="5123" max="5123" width="15" style="356" customWidth="1"/>
    <col min="5124" max="5124" width="17.7109375" style="356" customWidth="1"/>
    <col min="5125" max="5125" width="19.42578125" style="356" customWidth="1"/>
    <col min="5126" max="5127" width="11.7109375" style="356" bestFit="1" customWidth="1"/>
    <col min="5128" max="5376" width="11.42578125" style="356"/>
    <col min="5377" max="5377" width="36.7109375" style="356" customWidth="1"/>
    <col min="5378" max="5378" width="15.7109375" style="356" customWidth="1"/>
    <col min="5379" max="5379" width="15" style="356" customWidth="1"/>
    <col min="5380" max="5380" width="17.7109375" style="356" customWidth="1"/>
    <col min="5381" max="5381" width="19.42578125" style="356" customWidth="1"/>
    <col min="5382" max="5383" width="11.7109375" style="356" bestFit="1" customWidth="1"/>
    <col min="5384" max="5632" width="11.42578125" style="356"/>
    <col min="5633" max="5633" width="36.7109375" style="356" customWidth="1"/>
    <col min="5634" max="5634" width="15.7109375" style="356" customWidth="1"/>
    <col min="5635" max="5635" width="15" style="356" customWidth="1"/>
    <col min="5636" max="5636" width="17.7109375" style="356" customWidth="1"/>
    <col min="5637" max="5637" width="19.42578125" style="356" customWidth="1"/>
    <col min="5638" max="5639" width="11.7109375" style="356" bestFit="1" customWidth="1"/>
    <col min="5640" max="5888" width="11.42578125" style="356"/>
    <col min="5889" max="5889" width="36.7109375" style="356" customWidth="1"/>
    <col min="5890" max="5890" width="15.7109375" style="356" customWidth="1"/>
    <col min="5891" max="5891" width="15" style="356" customWidth="1"/>
    <col min="5892" max="5892" width="17.7109375" style="356" customWidth="1"/>
    <col min="5893" max="5893" width="19.42578125" style="356" customWidth="1"/>
    <col min="5894" max="5895" width="11.7109375" style="356" bestFit="1" customWidth="1"/>
    <col min="5896" max="6144" width="11.42578125" style="356"/>
    <col min="6145" max="6145" width="36.7109375" style="356" customWidth="1"/>
    <col min="6146" max="6146" width="15.7109375" style="356" customWidth="1"/>
    <col min="6147" max="6147" width="15" style="356" customWidth="1"/>
    <col min="6148" max="6148" width="17.7109375" style="356" customWidth="1"/>
    <col min="6149" max="6149" width="19.42578125" style="356" customWidth="1"/>
    <col min="6150" max="6151" width="11.7109375" style="356" bestFit="1" customWidth="1"/>
    <col min="6152" max="6400" width="11.42578125" style="356"/>
    <col min="6401" max="6401" width="36.7109375" style="356" customWidth="1"/>
    <col min="6402" max="6402" width="15.7109375" style="356" customWidth="1"/>
    <col min="6403" max="6403" width="15" style="356" customWidth="1"/>
    <col min="6404" max="6404" width="17.7109375" style="356" customWidth="1"/>
    <col min="6405" max="6405" width="19.42578125" style="356" customWidth="1"/>
    <col min="6406" max="6407" width="11.7109375" style="356" bestFit="1" customWidth="1"/>
    <col min="6408" max="6656" width="11.42578125" style="356"/>
    <col min="6657" max="6657" width="36.7109375" style="356" customWidth="1"/>
    <col min="6658" max="6658" width="15.7109375" style="356" customWidth="1"/>
    <col min="6659" max="6659" width="15" style="356" customWidth="1"/>
    <col min="6660" max="6660" width="17.7109375" style="356" customWidth="1"/>
    <col min="6661" max="6661" width="19.42578125" style="356" customWidth="1"/>
    <col min="6662" max="6663" width="11.7109375" style="356" bestFit="1" customWidth="1"/>
    <col min="6664" max="6912" width="11.42578125" style="356"/>
    <col min="6913" max="6913" width="36.7109375" style="356" customWidth="1"/>
    <col min="6914" max="6914" width="15.7109375" style="356" customWidth="1"/>
    <col min="6915" max="6915" width="15" style="356" customWidth="1"/>
    <col min="6916" max="6916" width="17.7109375" style="356" customWidth="1"/>
    <col min="6917" max="6917" width="19.42578125" style="356" customWidth="1"/>
    <col min="6918" max="6919" width="11.7109375" style="356" bestFit="1" customWidth="1"/>
    <col min="6920" max="7168" width="11.42578125" style="356"/>
    <col min="7169" max="7169" width="36.7109375" style="356" customWidth="1"/>
    <col min="7170" max="7170" width="15.7109375" style="356" customWidth="1"/>
    <col min="7171" max="7171" width="15" style="356" customWidth="1"/>
    <col min="7172" max="7172" width="17.7109375" style="356" customWidth="1"/>
    <col min="7173" max="7173" width="19.42578125" style="356" customWidth="1"/>
    <col min="7174" max="7175" width="11.7109375" style="356" bestFit="1" customWidth="1"/>
    <col min="7176" max="7424" width="11.42578125" style="356"/>
    <col min="7425" max="7425" width="36.7109375" style="356" customWidth="1"/>
    <col min="7426" max="7426" width="15.7109375" style="356" customWidth="1"/>
    <col min="7427" max="7427" width="15" style="356" customWidth="1"/>
    <col min="7428" max="7428" width="17.7109375" style="356" customWidth="1"/>
    <col min="7429" max="7429" width="19.42578125" style="356" customWidth="1"/>
    <col min="7430" max="7431" width="11.7109375" style="356" bestFit="1" customWidth="1"/>
    <col min="7432" max="7680" width="11.42578125" style="356"/>
    <col min="7681" max="7681" width="36.7109375" style="356" customWidth="1"/>
    <col min="7682" max="7682" width="15.7109375" style="356" customWidth="1"/>
    <col min="7683" max="7683" width="15" style="356" customWidth="1"/>
    <col min="7684" max="7684" width="17.7109375" style="356" customWidth="1"/>
    <col min="7685" max="7685" width="19.42578125" style="356" customWidth="1"/>
    <col min="7686" max="7687" width="11.7109375" style="356" bestFit="1" customWidth="1"/>
    <col min="7688" max="7936" width="11.42578125" style="356"/>
    <col min="7937" max="7937" width="36.7109375" style="356" customWidth="1"/>
    <col min="7938" max="7938" width="15.7109375" style="356" customWidth="1"/>
    <col min="7939" max="7939" width="15" style="356" customWidth="1"/>
    <col min="7940" max="7940" width="17.7109375" style="356" customWidth="1"/>
    <col min="7941" max="7941" width="19.42578125" style="356" customWidth="1"/>
    <col min="7942" max="7943" width="11.7109375" style="356" bestFit="1" customWidth="1"/>
    <col min="7944" max="8192" width="11.42578125" style="356"/>
    <col min="8193" max="8193" width="36.7109375" style="356" customWidth="1"/>
    <col min="8194" max="8194" width="15.7109375" style="356" customWidth="1"/>
    <col min="8195" max="8195" width="15" style="356" customWidth="1"/>
    <col min="8196" max="8196" width="17.7109375" style="356" customWidth="1"/>
    <col min="8197" max="8197" width="19.42578125" style="356" customWidth="1"/>
    <col min="8198" max="8199" width="11.7109375" style="356" bestFit="1" customWidth="1"/>
    <col min="8200" max="8448" width="11.42578125" style="356"/>
    <col min="8449" max="8449" width="36.7109375" style="356" customWidth="1"/>
    <col min="8450" max="8450" width="15.7109375" style="356" customWidth="1"/>
    <col min="8451" max="8451" width="15" style="356" customWidth="1"/>
    <col min="8452" max="8452" width="17.7109375" style="356" customWidth="1"/>
    <col min="8453" max="8453" width="19.42578125" style="356" customWidth="1"/>
    <col min="8454" max="8455" width="11.7109375" style="356" bestFit="1" customWidth="1"/>
    <col min="8456" max="8704" width="11.42578125" style="356"/>
    <col min="8705" max="8705" width="36.7109375" style="356" customWidth="1"/>
    <col min="8706" max="8706" width="15.7109375" style="356" customWidth="1"/>
    <col min="8707" max="8707" width="15" style="356" customWidth="1"/>
    <col min="8708" max="8708" width="17.7109375" style="356" customWidth="1"/>
    <col min="8709" max="8709" width="19.42578125" style="356" customWidth="1"/>
    <col min="8710" max="8711" width="11.7109375" style="356" bestFit="1" customWidth="1"/>
    <col min="8712" max="8960" width="11.42578125" style="356"/>
    <col min="8961" max="8961" width="36.7109375" style="356" customWidth="1"/>
    <col min="8962" max="8962" width="15.7109375" style="356" customWidth="1"/>
    <col min="8963" max="8963" width="15" style="356" customWidth="1"/>
    <col min="8964" max="8964" width="17.7109375" style="356" customWidth="1"/>
    <col min="8965" max="8965" width="19.42578125" style="356" customWidth="1"/>
    <col min="8966" max="8967" width="11.7109375" style="356" bestFit="1" customWidth="1"/>
    <col min="8968" max="9216" width="11.42578125" style="356"/>
    <col min="9217" max="9217" width="36.7109375" style="356" customWidth="1"/>
    <col min="9218" max="9218" width="15.7109375" style="356" customWidth="1"/>
    <col min="9219" max="9219" width="15" style="356" customWidth="1"/>
    <col min="9220" max="9220" width="17.7109375" style="356" customWidth="1"/>
    <col min="9221" max="9221" width="19.42578125" style="356" customWidth="1"/>
    <col min="9222" max="9223" width="11.7109375" style="356" bestFit="1" customWidth="1"/>
    <col min="9224" max="9472" width="11.42578125" style="356"/>
    <col min="9473" max="9473" width="36.7109375" style="356" customWidth="1"/>
    <col min="9474" max="9474" width="15.7109375" style="356" customWidth="1"/>
    <col min="9475" max="9475" width="15" style="356" customWidth="1"/>
    <col min="9476" max="9476" width="17.7109375" style="356" customWidth="1"/>
    <col min="9477" max="9477" width="19.42578125" style="356" customWidth="1"/>
    <col min="9478" max="9479" width="11.7109375" style="356" bestFit="1" customWidth="1"/>
    <col min="9480" max="9728" width="11.42578125" style="356"/>
    <col min="9729" max="9729" width="36.7109375" style="356" customWidth="1"/>
    <col min="9730" max="9730" width="15.7109375" style="356" customWidth="1"/>
    <col min="9731" max="9731" width="15" style="356" customWidth="1"/>
    <col min="9732" max="9732" width="17.7109375" style="356" customWidth="1"/>
    <col min="9733" max="9733" width="19.42578125" style="356" customWidth="1"/>
    <col min="9734" max="9735" width="11.7109375" style="356" bestFit="1" customWidth="1"/>
    <col min="9736" max="9984" width="11.42578125" style="356"/>
    <col min="9985" max="9985" width="36.7109375" style="356" customWidth="1"/>
    <col min="9986" max="9986" width="15.7109375" style="356" customWidth="1"/>
    <col min="9987" max="9987" width="15" style="356" customWidth="1"/>
    <col min="9988" max="9988" width="17.7109375" style="356" customWidth="1"/>
    <col min="9989" max="9989" width="19.42578125" style="356" customWidth="1"/>
    <col min="9990" max="9991" width="11.7109375" style="356" bestFit="1" customWidth="1"/>
    <col min="9992" max="10240" width="11.42578125" style="356"/>
    <col min="10241" max="10241" width="36.7109375" style="356" customWidth="1"/>
    <col min="10242" max="10242" width="15.7109375" style="356" customWidth="1"/>
    <col min="10243" max="10243" width="15" style="356" customWidth="1"/>
    <col min="10244" max="10244" width="17.7109375" style="356" customWidth="1"/>
    <col min="10245" max="10245" width="19.42578125" style="356" customWidth="1"/>
    <col min="10246" max="10247" width="11.7109375" style="356" bestFit="1" customWidth="1"/>
    <col min="10248" max="10496" width="11.42578125" style="356"/>
    <col min="10497" max="10497" width="36.7109375" style="356" customWidth="1"/>
    <col min="10498" max="10498" width="15.7109375" style="356" customWidth="1"/>
    <col min="10499" max="10499" width="15" style="356" customWidth="1"/>
    <col min="10500" max="10500" width="17.7109375" style="356" customWidth="1"/>
    <col min="10501" max="10501" width="19.42578125" style="356" customWidth="1"/>
    <col min="10502" max="10503" width="11.7109375" style="356" bestFit="1" customWidth="1"/>
    <col min="10504" max="10752" width="11.42578125" style="356"/>
    <col min="10753" max="10753" width="36.7109375" style="356" customWidth="1"/>
    <col min="10754" max="10754" width="15.7109375" style="356" customWidth="1"/>
    <col min="10755" max="10755" width="15" style="356" customWidth="1"/>
    <col min="10756" max="10756" width="17.7109375" style="356" customWidth="1"/>
    <col min="10757" max="10757" width="19.42578125" style="356" customWidth="1"/>
    <col min="10758" max="10759" width="11.7109375" style="356" bestFit="1" customWidth="1"/>
    <col min="10760" max="11008" width="11.42578125" style="356"/>
    <col min="11009" max="11009" width="36.7109375" style="356" customWidth="1"/>
    <col min="11010" max="11010" width="15.7109375" style="356" customWidth="1"/>
    <col min="11011" max="11011" width="15" style="356" customWidth="1"/>
    <col min="11012" max="11012" width="17.7109375" style="356" customWidth="1"/>
    <col min="11013" max="11013" width="19.42578125" style="356" customWidth="1"/>
    <col min="11014" max="11015" width="11.7109375" style="356" bestFit="1" customWidth="1"/>
    <col min="11016" max="11264" width="11.42578125" style="356"/>
    <col min="11265" max="11265" width="36.7109375" style="356" customWidth="1"/>
    <col min="11266" max="11266" width="15.7109375" style="356" customWidth="1"/>
    <col min="11267" max="11267" width="15" style="356" customWidth="1"/>
    <col min="11268" max="11268" width="17.7109375" style="356" customWidth="1"/>
    <col min="11269" max="11269" width="19.42578125" style="356" customWidth="1"/>
    <col min="11270" max="11271" width="11.7109375" style="356" bestFit="1" customWidth="1"/>
    <col min="11272" max="11520" width="11.42578125" style="356"/>
    <col min="11521" max="11521" width="36.7109375" style="356" customWidth="1"/>
    <col min="11522" max="11522" width="15.7109375" style="356" customWidth="1"/>
    <col min="11523" max="11523" width="15" style="356" customWidth="1"/>
    <col min="11524" max="11524" width="17.7109375" style="356" customWidth="1"/>
    <col min="11525" max="11525" width="19.42578125" style="356" customWidth="1"/>
    <col min="11526" max="11527" width="11.7109375" style="356" bestFit="1" customWidth="1"/>
    <col min="11528" max="11776" width="11.42578125" style="356"/>
    <col min="11777" max="11777" width="36.7109375" style="356" customWidth="1"/>
    <col min="11778" max="11778" width="15.7109375" style="356" customWidth="1"/>
    <col min="11779" max="11779" width="15" style="356" customWidth="1"/>
    <col min="11780" max="11780" width="17.7109375" style="356" customWidth="1"/>
    <col min="11781" max="11781" width="19.42578125" style="356" customWidth="1"/>
    <col min="11782" max="11783" width="11.7109375" style="356" bestFit="1" customWidth="1"/>
    <col min="11784" max="12032" width="11.42578125" style="356"/>
    <col min="12033" max="12033" width="36.7109375" style="356" customWidth="1"/>
    <col min="12034" max="12034" width="15.7109375" style="356" customWidth="1"/>
    <col min="12035" max="12035" width="15" style="356" customWidth="1"/>
    <col min="12036" max="12036" width="17.7109375" style="356" customWidth="1"/>
    <col min="12037" max="12037" width="19.42578125" style="356" customWidth="1"/>
    <col min="12038" max="12039" width="11.7109375" style="356" bestFit="1" customWidth="1"/>
    <col min="12040" max="12288" width="11.42578125" style="356"/>
    <col min="12289" max="12289" width="36.7109375" style="356" customWidth="1"/>
    <col min="12290" max="12290" width="15.7109375" style="356" customWidth="1"/>
    <col min="12291" max="12291" width="15" style="356" customWidth="1"/>
    <col min="12292" max="12292" width="17.7109375" style="356" customWidth="1"/>
    <col min="12293" max="12293" width="19.42578125" style="356" customWidth="1"/>
    <col min="12294" max="12295" width="11.7109375" style="356" bestFit="1" customWidth="1"/>
    <col min="12296" max="12544" width="11.42578125" style="356"/>
    <col min="12545" max="12545" width="36.7109375" style="356" customWidth="1"/>
    <col min="12546" max="12546" width="15.7109375" style="356" customWidth="1"/>
    <col min="12547" max="12547" width="15" style="356" customWidth="1"/>
    <col min="12548" max="12548" width="17.7109375" style="356" customWidth="1"/>
    <col min="12549" max="12549" width="19.42578125" style="356" customWidth="1"/>
    <col min="12550" max="12551" width="11.7109375" style="356" bestFit="1" customWidth="1"/>
    <col min="12552" max="12800" width="11.42578125" style="356"/>
    <col min="12801" max="12801" width="36.7109375" style="356" customWidth="1"/>
    <col min="12802" max="12802" width="15.7109375" style="356" customWidth="1"/>
    <col min="12803" max="12803" width="15" style="356" customWidth="1"/>
    <col min="12804" max="12804" width="17.7109375" style="356" customWidth="1"/>
    <col min="12805" max="12805" width="19.42578125" style="356" customWidth="1"/>
    <col min="12806" max="12807" width="11.7109375" style="356" bestFit="1" customWidth="1"/>
    <col min="12808" max="13056" width="11.42578125" style="356"/>
    <col min="13057" max="13057" width="36.7109375" style="356" customWidth="1"/>
    <col min="13058" max="13058" width="15.7109375" style="356" customWidth="1"/>
    <col min="13059" max="13059" width="15" style="356" customWidth="1"/>
    <col min="13060" max="13060" width="17.7109375" style="356" customWidth="1"/>
    <col min="13061" max="13061" width="19.42578125" style="356" customWidth="1"/>
    <col min="13062" max="13063" width="11.7109375" style="356" bestFit="1" customWidth="1"/>
    <col min="13064" max="13312" width="11.42578125" style="356"/>
    <col min="13313" max="13313" width="36.7109375" style="356" customWidth="1"/>
    <col min="13314" max="13314" width="15.7109375" style="356" customWidth="1"/>
    <col min="13315" max="13315" width="15" style="356" customWidth="1"/>
    <col min="13316" max="13316" width="17.7109375" style="356" customWidth="1"/>
    <col min="13317" max="13317" width="19.42578125" style="356" customWidth="1"/>
    <col min="13318" max="13319" width="11.7109375" style="356" bestFit="1" customWidth="1"/>
    <col min="13320" max="13568" width="11.42578125" style="356"/>
    <col min="13569" max="13569" width="36.7109375" style="356" customWidth="1"/>
    <col min="13570" max="13570" width="15.7109375" style="356" customWidth="1"/>
    <col min="13571" max="13571" width="15" style="356" customWidth="1"/>
    <col min="13572" max="13572" width="17.7109375" style="356" customWidth="1"/>
    <col min="13573" max="13573" width="19.42578125" style="356" customWidth="1"/>
    <col min="13574" max="13575" width="11.7109375" style="356" bestFit="1" customWidth="1"/>
    <col min="13576" max="13824" width="11.42578125" style="356"/>
    <col min="13825" max="13825" width="36.7109375" style="356" customWidth="1"/>
    <col min="13826" max="13826" width="15.7109375" style="356" customWidth="1"/>
    <col min="13827" max="13827" width="15" style="356" customWidth="1"/>
    <col min="13828" max="13828" width="17.7109375" style="356" customWidth="1"/>
    <col min="13829" max="13829" width="19.42578125" style="356" customWidth="1"/>
    <col min="13830" max="13831" width="11.7109375" style="356" bestFit="1" customWidth="1"/>
    <col min="13832" max="14080" width="11.42578125" style="356"/>
    <col min="14081" max="14081" width="36.7109375" style="356" customWidth="1"/>
    <col min="14082" max="14082" width="15.7109375" style="356" customWidth="1"/>
    <col min="14083" max="14083" width="15" style="356" customWidth="1"/>
    <col min="14084" max="14084" width="17.7109375" style="356" customWidth="1"/>
    <col min="14085" max="14085" width="19.42578125" style="356" customWidth="1"/>
    <col min="14086" max="14087" width="11.7109375" style="356" bestFit="1" customWidth="1"/>
    <col min="14088" max="14336" width="11.42578125" style="356"/>
    <col min="14337" max="14337" width="36.7109375" style="356" customWidth="1"/>
    <col min="14338" max="14338" width="15.7109375" style="356" customWidth="1"/>
    <col min="14339" max="14339" width="15" style="356" customWidth="1"/>
    <col min="14340" max="14340" width="17.7109375" style="356" customWidth="1"/>
    <col min="14341" max="14341" width="19.42578125" style="356" customWidth="1"/>
    <col min="14342" max="14343" width="11.7109375" style="356" bestFit="1" customWidth="1"/>
    <col min="14344" max="14592" width="11.42578125" style="356"/>
    <col min="14593" max="14593" width="36.7109375" style="356" customWidth="1"/>
    <col min="14594" max="14594" width="15.7109375" style="356" customWidth="1"/>
    <col min="14595" max="14595" width="15" style="356" customWidth="1"/>
    <col min="14596" max="14596" width="17.7109375" style="356" customWidth="1"/>
    <col min="14597" max="14597" width="19.42578125" style="356" customWidth="1"/>
    <col min="14598" max="14599" width="11.7109375" style="356" bestFit="1" customWidth="1"/>
    <col min="14600" max="14848" width="11.42578125" style="356"/>
    <col min="14849" max="14849" width="36.7109375" style="356" customWidth="1"/>
    <col min="14850" max="14850" width="15.7109375" style="356" customWidth="1"/>
    <col min="14851" max="14851" width="15" style="356" customWidth="1"/>
    <col min="14852" max="14852" width="17.7109375" style="356" customWidth="1"/>
    <col min="14853" max="14853" width="19.42578125" style="356" customWidth="1"/>
    <col min="14854" max="14855" width="11.7109375" style="356" bestFit="1" customWidth="1"/>
    <col min="14856" max="15104" width="11.42578125" style="356"/>
    <col min="15105" max="15105" width="36.7109375" style="356" customWidth="1"/>
    <col min="15106" max="15106" width="15.7109375" style="356" customWidth="1"/>
    <col min="15107" max="15107" width="15" style="356" customWidth="1"/>
    <col min="15108" max="15108" width="17.7109375" style="356" customWidth="1"/>
    <col min="15109" max="15109" width="19.42578125" style="356" customWidth="1"/>
    <col min="15110" max="15111" width="11.7109375" style="356" bestFit="1" customWidth="1"/>
    <col min="15112" max="15360" width="11.42578125" style="356"/>
    <col min="15361" max="15361" width="36.7109375" style="356" customWidth="1"/>
    <col min="15362" max="15362" width="15.7109375" style="356" customWidth="1"/>
    <col min="15363" max="15363" width="15" style="356" customWidth="1"/>
    <col min="15364" max="15364" width="17.7109375" style="356" customWidth="1"/>
    <col min="15365" max="15365" width="19.42578125" style="356" customWidth="1"/>
    <col min="15366" max="15367" width="11.7109375" style="356" bestFit="1" customWidth="1"/>
    <col min="15368" max="15616" width="11.42578125" style="356"/>
    <col min="15617" max="15617" width="36.7109375" style="356" customWidth="1"/>
    <col min="15618" max="15618" width="15.7109375" style="356" customWidth="1"/>
    <col min="15619" max="15619" width="15" style="356" customWidth="1"/>
    <col min="15620" max="15620" width="17.7109375" style="356" customWidth="1"/>
    <col min="15621" max="15621" width="19.42578125" style="356" customWidth="1"/>
    <col min="15622" max="15623" width="11.7109375" style="356" bestFit="1" customWidth="1"/>
    <col min="15624" max="15872" width="11.42578125" style="356"/>
    <col min="15873" max="15873" width="36.7109375" style="356" customWidth="1"/>
    <col min="15874" max="15874" width="15.7109375" style="356" customWidth="1"/>
    <col min="15875" max="15875" width="15" style="356" customWidth="1"/>
    <col min="15876" max="15876" width="17.7109375" style="356" customWidth="1"/>
    <col min="15877" max="15877" width="19.42578125" style="356" customWidth="1"/>
    <col min="15878" max="15879" width="11.7109375" style="356" bestFit="1" customWidth="1"/>
    <col min="15880" max="16128" width="11.42578125" style="356"/>
    <col min="16129" max="16129" width="36.7109375" style="356" customWidth="1"/>
    <col min="16130" max="16130" width="15.7109375" style="356" customWidth="1"/>
    <col min="16131" max="16131" width="15" style="356" customWidth="1"/>
    <col min="16132" max="16132" width="17.7109375" style="356" customWidth="1"/>
    <col min="16133" max="16133" width="19.42578125" style="356" customWidth="1"/>
    <col min="16134" max="16135" width="11.7109375" style="356" bestFit="1" customWidth="1"/>
    <col min="16136" max="16384" width="11.42578125" style="356"/>
  </cols>
  <sheetData>
    <row r="1" spans="1:5" ht="16.5" thickBot="1" x14ac:dyDescent="0.3">
      <c r="A1" s="363"/>
    </row>
    <row r="2" spans="1:5" ht="16.5" thickBot="1" x14ac:dyDescent="0.3">
      <c r="A2" s="1499" t="s">
        <v>1158</v>
      </c>
      <c r="B2" s="1503" t="s">
        <v>1159</v>
      </c>
      <c r="C2" s="1504"/>
      <c r="D2" s="1504"/>
      <c r="E2" s="1505"/>
    </row>
    <row r="3" spans="1:5" ht="16.5" thickBot="1" x14ac:dyDescent="0.3">
      <c r="A3" s="1500"/>
      <c r="B3" s="1506" t="s">
        <v>1160</v>
      </c>
      <c r="C3" s="1507"/>
      <c r="D3" s="1507"/>
      <c r="E3" s="1508"/>
    </row>
    <row r="4" spans="1:5" ht="16.5" thickBot="1" x14ac:dyDescent="0.3">
      <c r="A4" s="1501"/>
      <c r="B4" s="767" t="s">
        <v>191</v>
      </c>
      <c r="C4" s="1509">
        <v>0</v>
      </c>
      <c r="D4" s="1510"/>
      <c r="E4" s="1511"/>
    </row>
    <row r="5" spans="1:5" ht="48" thickBot="1" x14ac:dyDescent="0.3">
      <c r="A5" s="1502"/>
      <c r="B5" s="771" t="s">
        <v>791</v>
      </c>
      <c r="C5" s="772" t="s">
        <v>792</v>
      </c>
      <c r="D5" s="773" t="s">
        <v>793</v>
      </c>
      <c r="E5" s="774" t="s">
        <v>794</v>
      </c>
    </row>
    <row r="6" spans="1:5" ht="16.5" thickBot="1" x14ac:dyDescent="0.3">
      <c r="A6" s="766" t="s">
        <v>797</v>
      </c>
      <c r="B6" s="775"/>
      <c r="C6" s="776" t="s">
        <v>199</v>
      </c>
      <c r="D6" s="777">
        <v>0</v>
      </c>
      <c r="E6" s="778" t="s">
        <v>199</v>
      </c>
    </row>
    <row r="7" spans="1:5" x14ac:dyDescent="0.25">
      <c r="A7" s="779" t="s">
        <v>157</v>
      </c>
      <c r="B7" s="780"/>
      <c r="C7" s="781" t="s">
        <v>199</v>
      </c>
      <c r="D7" s="782" t="s">
        <v>199</v>
      </c>
      <c r="E7" s="783" t="s">
        <v>199</v>
      </c>
    </row>
    <row r="8" spans="1:5" x14ac:dyDescent="0.25">
      <c r="A8" s="784" t="s">
        <v>804</v>
      </c>
      <c r="B8" s="785"/>
      <c r="C8" s="786" t="s">
        <v>199</v>
      </c>
      <c r="D8" s="787">
        <v>0</v>
      </c>
      <c r="E8" s="788" t="s">
        <v>199</v>
      </c>
    </row>
    <row r="9" spans="1:5" ht="16.5" thickBot="1" x14ac:dyDescent="0.3">
      <c r="A9" s="784" t="s">
        <v>807</v>
      </c>
      <c r="B9" s="789" t="s">
        <v>199</v>
      </c>
      <c r="C9" s="790" t="s">
        <v>199</v>
      </c>
      <c r="D9" s="791" t="s">
        <v>199</v>
      </c>
      <c r="E9" s="792" t="s">
        <v>199</v>
      </c>
    </row>
    <row r="10" spans="1:5" ht="16.5" thickBot="1" x14ac:dyDescent="0.3">
      <c r="A10" s="784" t="s">
        <v>810</v>
      </c>
      <c r="B10" s="1512" t="s">
        <v>199</v>
      </c>
      <c r="C10" s="1513"/>
      <c r="D10" s="793" t="s">
        <v>199</v>
      </c>
      <c r="E10" s="794" t="s">
        <v>199</v>
      </c>
    </row>
    <row r="11" spans="1:5" ht="16.5" thickBot="1" x14ac:dyDescent="0.3">
      <c r="A11" s="795" t="s">
        <v>812</v>
      </c>
      <c r="B11" s="796" t="s">
        <v>199</v>
      </c>
      <c r="C11" s="797" t="s">
        <v>199</v>
      </c>
      <c r="D11" s="798">
        <f>SUM(D8:D10)</f>
        <v>0</v>
      </c>
      <c r="E11" s="799" t="s">
        <v>199</v>
      </c>
    </row>
    <row r="12" spans="1:5" ht="16.5" thickBot="1" x14ac:dyDescent="0.3">
      <c r="A12" s="766" t="s">
        <v>816</v>
      </c>
      <c r="B12" s="800" t="s">
        <v>199</v>
      </c>
      <c r="C12" s="801" t="s">
        <v>199</v>
      </c>
      <c r="D12" s="777">
        <f>SUM(D6+D11)</f>
        <v>0</v>
      </c>
      <c r="E12" s="778" t="s">
        <v>199</v>
      </c>
    </row>
    <row r="13" spans="1:5" x14ac:dyDescent="0.25">
      <c r="A13" s="770" t="s">
        <v>817</v>
      </c>
      <c r="B13" s="802" t="s">
        <v>199</v>
      </c>
      <c r="C13" s="803" t="s">
        <v>199</v>
      </c>
      <c r="D13" s="782" t="s">
        <v>199</v>
      </c>
      <c r="E13" s="783" t="s">
        <v>199</v>
      </c>
    </row>
    <row r="14" spans="1:5" ht="16.5" thickBot="1" x14ac:dyDescent="0.3">
      <c r="A14" s="784" t="s">
        <v>819</v>
      </c>
      <c r="B14" s="785">
        <v>0</v>
      </c>
      <c r="C14" s="786" t="s">
        <v>199</v>
      </c>
      <c r="D14" s="804">
        <f>D12*B14</f>
        <v>0</v>
      </c>
      <c r="E14" s="783" t="s">
        <v>199</v>
      </c>
    </row>
    <row r="15" spans="1:5" ht="16.5" thickBot="1" x14ac:dyDescent="0.3">
      <c r="A15" s="784" t="s">
        <v>821</v>
      </c>
      <c r="B15" s="805"/>
      <c r="C15" s="786"/>
      <c r="D15" s="793" t="e">
        <f>#REF!*B15</f>
        <v>#REF!</v>
      </c>
      <c r="E15" s="806" t="s">
        <v>199</v>
      </c>
    </row>
    <row r="16" spans="1:5" x14ac:dyDescent="0.25">
      <c r="A16" s="807" t="s">
        <v>823</v>
      </c>
      <c r="B16" s="789" t="s">
        <v>199</v>
      </c>
      <c r="C16" s="790" t="s">
        <v>199</v>
      </c>
      <c r="D16" s="777" t="e">
        <f>SUM(D14:D15)</f>
        <v>#REF!</v>
      </c>
      <c r="E16" s="783" t="s">
        <v>199</v>
      </c>
    </row>
    <row r="17" spans="1:6" x14ac:dyDescent="0.25">
      <c r="A17" s="808" t="s">
        <v>727</v>
      </c>
      <c r="B17" s="802" t="s">
        <v>199</v>
      </c>
      <c r="C17" s="803" t="s">
        <v>199</v>
      </c>
      <c r="D17" s="782" t="s">
        <v>199</v>
      </c>
      <c r="E17" s="783" t="s">
        <v>199</v>
      </c>
    </row>
    <row r="18" spans="1:6" ht="16.5" thickBot="1" x14ac:dyDescent="0.3">
      <c r="A18" s="784" t="s">
        <v>1161</v>
      </c>
      <c r="B18" s="785">
        <v>0</v>
      </c>
      <c r="C18" s="786" t="s">
        <v>199</v>
      </c>
      <c r="D18" s="809">
        <f>D12*B18</f>
        <v>0</v>
      </c>
      <c r="E18" s="810" t="s">
        <v>199</v>
      </c>
    </row>
    <row r="19" spans="1:6" ht="16.5" thickBot="1" x14ac:dyDescent="0.3">
      <c r="A19" s="784" t="s">
        <v>1162</v>
      </c>
      <c r="B19" s="789" t="s">
        <v>199</v>
      </c>
      <c r="C19" s="790" t="s">
        <v>199</v>
      </c>
      <c r="D19" s="793" t="s">
        <v>199</v>
      </c>
      <c r="E19" s="794" t="s">
        <v>199</v>
      </c>
    </row>
    <row r="20" spans="1:6" ht="16.5" thickBot="1" x14ac:dyDescent="0.3">
      <c r="A20" s="795" t="s">
        <v>831</v>
      </c>
      <c r="B20" s="796" t="s">
        <v>199</v>
      </c>
      <c r="C20" s="797" t="s">
        <v>199</v>
      </c>
      <c r="D20" s="798">
        <f>SUM(D18:D19)</f>
        <v>0</v>
      </c>
      <c r="E20" s="799" t="s">
        <v>199</v>
      </c>
    </row>
    <row r="21" spans="1:6" ht="16.5" thickBot="1" x14ac:dyDescent="0.3">
      <c r="A21" s="768" t="s">
        <v>832</v>
      </c>
      <c r="B21" s="800" t="s">
        <v>199</v>
      </c>
      <c r="C21" s="801" t="s">
        <v>199</v>
      </c>
      <c r="D21" s="777" t="e">
        <f>D20+D16+D12</f>
        <v>#REF!</v>
      </c>
      <c r="E21" s="778" t="s">
        <v>199</v>
      </c>
    </row>
    <row r="22" spans="1:6" x14ac:dyDescent="0.25">
      <c r="A22" s="779" t="s">
        <v>728</v>
      </c>
      <c r="B22" s="811" t="s">
        <v>199</v>
      </c>
      <c r="C22" s="812" t="s">
        <v>199</v>
      </c>
      <c r="D22" s="782" t="s">
        <v>199</v>
      </c>
      <c r="E22" s="783" t="s">
        <v>199</v>
      </c>
    </row>
    <row r="23" spans="1:6" x14ac:dyDescent="0.25">
      <c r="A23" s="784" t="s">
        <v>833</v>
      </c>
      <c r="B23" s="785" t="s">
        <v>199</v>
      </c>
      <c r="C23" s="786" t="s">
        <v>199</v>
      </c>
      <c r="D23" s="782" t="s">
        <v>199</v>
      </c>
      <c r="E23" s="783" t="s">
        <v>199</v>
      </c>
    </row>
    <row r="24" spans="1:6" ht="16.5" thickBot="1" x14ac:dyDescent="0.3">
      <c r="A24" s="813" t="s">
        <v>821</v>
      </c>
      <c r="B24" s="814">
        <v>0</v>
      </c>
      <c r="C24" s="815"/>
      <c r="D24" s="816" t="e">
        <f>D21*B24</f>
        <v>#REF!</v>
      </c>
      <c r="E24" s="817"/>
    </row>
    <row r="25" spans="1:6" ht="16.5" thickBot="1" x14ac:dyDescent="0.3">
      <c r="A25" s="818" t="s">
        <v>835</v>
      </c>
      <c r="B25" s="819" t="s">
        <v>199</v>
      </c>
      <c r="C25" s="820" t="s">
        <v>199</v>
      </c>
      <c r="D25" s="821" t="e">
        <f>SUM(D23:D24)</f>
        <v>#REF!</v>
      </c>
      <c r="E25" s="822" t="s">
        <v>199</v>
      </c>
    </row>
    <row r="26" spans="1:6" ht="16.5" thickBot="1" x14ac:dyDescent="0.3">
      <c r="A26" s="768" t="s">
        <v>836</v>
      </c>
      <c r="B26" s="800" t="s">
        <v>199</v>
      </c>
      <c r="C26" s="801" t="s">
        <v>199</v>
      </c>
      <c r="D26" s="823" t="e">
        <f>H21*D21</f>
        <v>#REF!</v>
      </c>
      <c r="E26" s="824" t="s">
        <v>199</v>
      </c>
    </row>
    <row r="27" spans="1:6" ht="16.5" thickBot="1" x14ac:dyDescent="0.3">
      <c r="A27" s="825" t="s">
        <v>837</v>
      </c>
      <c r="B27" s="826">
        <v>0</v>
      </c>
      <c r="C27" s="827" t="s">
        <v>199</v>
      </c>
      <c r="D27" s="821" t="e">
        <f>D26*B27</f>
        <v>#REF!</v>
      </c>
      <c r="E27" s="828" t="s">
        <v>199</v>
      </c>
    </row>
    <row r="28" spans="1:6" ht="16.5" thickBot="1" x14ac:dyDescent="0.3">
      <c r="A28" s="768" t="s">
        <v>838</v>
      </c>
      <c r="B28" s="775" t="s">
        <v>199</v>
      </c>
      <c r="C28" s="776" t="s">
        <v>199</v>
      </c>
      <c r="D28" s="1497" t="e">
        <f>D27+D26</f>
        <v>#REF!</v>
      </c>
      <c r="E28" s="1498" t="s">
        <v>199</v>
      </c>
      <c r="F28" s="829"/>
    </row>
    <row r="29" spans="1:6" ht="16.5" thickBot="1" x14ac:dyDescent="0.3">
      <c r="A29" s="769" t="s">
        <v>839</v>
      </c>
      <c r="B29" s="830" t="s">
        <v>199</v>
      </c>
      <c r="C29" s="776" t="s">
        <v>199</v>
      </c>
      <c r="D29" s="831" t="s">
        <v>199</v>
      </c>
      <c r="E29" s="832"/>
    </row>
    <row r="30" spans="1:6" ht="16.5" thickBot="1" x14ac:dyDescent="0.3">
      <c r="A30" s="770" t="s">
        <v>840</v>
      </c>
      <c r="B30" s="833" t="e">
        <f>D26/D6</f>
        <v>#REF!</v>
      </c>
      <c r="C30" s="776" t="s">
        <v>199</v>
      </c>
      <c r="D30" s="834" t="s">
        <v>199</v>
      </c>
      <c r="E30" s="835" t="s">
        <v>199</v>
      </c>
    </row>
    <row r="31" spans="1:6" ht="16.5" thickBot="1" x14ac:dyDescent="0.3">
      <c r="A31" s="807" t="s">
        <v>841</v>
      </c>
      <c r="B31" s="836" t="s">
        <v>199</v>
      </c>
      <c r="C31" s="837" t="s">
        <v>199</v>
      </c>
      <c r="D31" s="838" t="s">
        <v>199</v>
      </c>
      <c r="E31" s="839" t="s">
        <v>199</v>
      </c>
    </row>
    <row r="32" spans="1:6" ht="16.5" thickBot="1" x14ac:dyDescent="0.3">
      <c r="A32" s="795" t="s">
        <v>842</v>
      </c>
      <c r="B32" s="840" t="s">
        <v>199</v>
      </c>
      <c r="C32" s="841" t="s">
        <v>199</v>
      </c>
      <c r="D32" s="842" t="s">
        <v>199</v>
      </c>
      <c r="E32" s="843" t="s">
        <v>199</v>
      </c>
    </row>
    <row r="33" spans="1:5" ht="16.5" thickBot="1" x14ac:dyDescent="0.3">
      <c r="A33" s="766" t="s">
        <v>1163</v>
      </c>
      <c r="B33" s="844" t="s">
        <v>199</v>
      </c>
      <c r="C33" s="845" t="s">
        <v>199</v>
      </c>
      <c r="D33" s="821" t="s">
        <v>199</v>
      </c>
      <c r="E33" s="828" t="s">
        <v>199</v>
      </c>
    </row>
    <row r="34" spans="1:5" x14ac:dyDescent="0.25">
      <c r="B34" s="356" t="s">
        <v>199</v>
      </c>
      <c r="C34" s="356" t="s">
        <v>199</v>
      </c>
      <c r="D34" s="356" t="s">
        <v>199</v>
      </c>
      <c r="E34" s="356" t="s">
        <v>199</v>
      </c>
    </row>
    <row r="35" spans="1:5" x14ac:dyDescent="0.25">
      <c r="A35" s="356" t="s">
        <v>1164</v>
      </c>
      <c r="B35" s="846" t="e">
        <f>D26/D6</f>
        <v>#REF!</v>
      </c>
      <c r="C35" s="356" t="s">
        <v>199</v>
      </c>
      <c r="D35" s="846"/>
      <c r="E35" s="356" t="s">
        <v>199</v>
      </c>
    </row>
    <row r="36" spans="1:5" x14ac:dyDescent="0.25">
      <c r="B36" s="847"/>
    </row>
    <row r="37" spans="1:5" x14ac:dyDescent="0.25">
      <c r="A37" s="356" t="s">
        <v>1165</v>
      </c>
      <c r="B37" s="829" t="e">
        <f>120.25*B35</f>
        <v>#REF!</v>
      </c>
    </row>
    <row r="44" spans="1:5" ht="16.5" thickBot="1" x14ac:dyDescent="0.3">
      <c r="A44" s="363"/>
    </row>
    <row r="45" spans="1:5" ht="16.5" thickBot="1" x14ac:dyDescent="0.3">
      <c r="A45" s="1499" t="s">
        <v>1158</v>
      </c>
      <c r="B45" s="1514" t="s">
        <v>1159</v>
      </c>
      <c r="C45" s="1515"/>
      <c r="D45" s="1515"/>
      <c r="E45" s="1516"/>
    </row>
    <row r="46" spans="1:5" ht="16.5" thickBot="1" x14ac:dyDescent="0.3">
      <c r="A46" s="1500"/>
      <c r="B46" s="1506" t="s">
        <v>1166</v>
      </c>
      <c r="C46" s="1507"/>
      <c r="D46" s="1507"/>
      <c r="E46" s="1508"/>
    </row>
    <row r="47" spans="1:5" ht="16.5" thickBot="1" x14ac:dyDescent="0.3">
      <c r="A47" s="1501"/>
      <c r="B47" s="767" t="s">
        <v>191</v>
      </c>
      <c r="C47" s="1509" t="s">
        <v>1167</v>
      </c>
      <c r="D47" s="1510"/>
      <c r="E47" s="1511"/>
    </row>
    <row r="48" spans="1:5" ht="48" thickBot="1" x14ac:dyDescent="0.3">
      <c r="A48" s="1502"/>
      <c r="B48" s="771" t="s">
        <v>791</v>
      </c>
      <c r="C48" s="772" t="s">
        <v>792</v>
      </c>
      <c r="D48" s="771" t="s">
        <v>793</v>
      </c>
      <c r="E48" s="772" t="s">
        <v>794</v>
      </c>
    </row>
    <row r="49" spans="1:5" ht="16.5" thickBot="1" x14ac:dyDescent="0.3">
      <c r="A49" s="766" t="s">
        <v>797</v>
      </c>
      <c r="B49" s="775"/>
      <c r="C49" s="848"/>
      <c r="D49" s="842">
        <f>'[4]Calculs des  Prix DS'!J99</f>
        <v>0</v>
      </c>
      <c r="E49" s="843"/>
    </row>
    <row r="50" spans="1:5" x14ac:dyDescent="0.25">
      <c r="A50" s="779" t="s">
        <v>157</v>
      </c>
      <c r="B50" s="780"/>
      <c r="C50" s="781" t="s">
        <v>199</v>
      </c>
      <c r="D50" s="777" t="s">
        <v>199</v>
      </c>
      <c r="E50" s="778" t="s">
        <v>199</v>
      </c>
    </row>
    <row r="51" spans="1:5" x14ac:dyDescent="0.25">
      <c r="A51" s="784" t="s">
        <v>804</v>
      </c>
      <c r="B51" s="785">
        <v>0.13</v>
      </c>
      <c r="C51" s="786" t="s">
        <v>199</v>
      </c>
      <c r="D51" s="782">
        <f>D49*B51</f>
        <v>0</v>
      </c>
      <c r="E51" s="783" t="s">
        <v>199</v>
      </c>
    </row>
    <row r="52" spans="1:5" x14ac:dyDescent="0.25">
      <c r="A52" s="784" t="s">
        <v>807</v>
      </c>
      <c r="B52" s="789" t="s">
        <v>199</v>
      </c>
      <c r="C52" s="790" t="s">
        <v>199</v>
      </c>
      <c r="D52" s="787" t="s">
        <v>199</v>
      </c>
      <c r="E52" s="788"/>
    </row>
    <row r="53" spans="1:5" ht="16.5" thickBot="1" x14ac:dyDescent="0.3">
      <c r="A53" s="784" t="s">
        <v>810</v>
      </c>
      <c r="B53" s="1512" t="s">
        <v>199</v>
      </c>
      <c r="C53" s="1513"/>
      <c r="D53" s="791" t="s">
        <v>199</v>
      </c>
      <c r="E53" s="792" t="s">
        <v>199</v>
      </c>
    </row>
    <row r="54" spans="1:5" ht="16.5" thickBot="1" x14ac:dyDescent="0.3">
      <c r="A54" s="795" t="s">
        <v>812</v>
      </c>
      <c r="B54" s="796" t="s">
        <v>199</v>
      </c>
      <c r="C54" s="797" t="s">
        <v>199</v>
      </c>
      <c r="D54" s="794">
        <f>SUM(D50:D53)</f>
        <v>0</v>
      </c>
      <c r="E54" s="794"/>
    </row>
    <row r="55" spans="1:5" ht="16.5" thickBot="1" x14ac:dyDescent="0.3">
      <c r="A55" s="766" t="s">
        <v>816</v>
      </c>
      <c r="B55" s="800" t="s">
        <v>199</v>
      </c>
      <c r="C55" s="801" t="s">
        <v>199</v>
      </c>
      <c r="D55" s="799">
        <f>D54+D49</f>
        <v>0</v>
      </c>
      <c r="E55" s="799">
        <f>E54+E49</f>
        <v>0</v>
      </c>
    </row>
    <row r="56" spans="1:5" x14ac:dyDescent="0.25">
      <c r="A56" s="770" t="s">
        <v>817</v>
      </c>
      <c r="B56" s="802" t="s">
        <v>199</v>
      </c>
      <c r="C56" s="803" t="s">
        <v>199</v>
      </c>
      <c r="D56" s="777" t="s">
        <v>199</v>
      </c>
      <c r="E56" s="778" t="s">
        <v>199</v>
      </c>
    </row>
    <row r="57" spans="1:5" x14ac:dyDescent="0.25">
      <c r="A57" s="784" t="s">
        <v>819</v>
      </c>
      <c r="B57" s="785">
        <v>0.17</v>
      </c>
      <c r="C57" s="786">
        <v>0</v>
      </c>
      <c r="D57" s="782">
        <f>$D$55*B57</f>
        <v>0</v>
      </c>
      <c r="E57" s="783" t="e">
        <f>#REF!*C57</f>
        <v>#REF!</v>
      </c>
    </row>
    <row r="58" spans="1:5" ht="16.5" thickBot="1" x14ac:dyDescent="0.3">
      <c r="A58" s="784" t="s">
        <v>821</v>
      </c>
      <c r="B58" s="785">
        <v>0</v>
      </c>
      <c r="C58" s="786">
        <v>0</v>
      </c>
      <c r="D58" s="804" t="e">
        <f>#REF!*B58</f>
        <v>#REF!</v>
      </c>
      <c r="E58" s="783">
        <f>E55*C58</f>
        <v>0</v>
      </c>
    </row>
    <row r="59" spans="1:5" ht="16.5" thickBot="1" x14ac:dyDescent="0.3">
      <c r="A59" s="807" t="s">
        <v>823</v>
      </c>
      <c r="B59" s="789" t="s">
        <v>199</v>
      </c>
      <c r="C59" s="790" t="s">
        <v>199</v>
      </c>
      <c r="D59" s="793" t="e">
        <f>SUM(D57:D58)</f>
        <v>#REF!</v>
      </c>
      <c r="E59" s="793" t="e">
        <f>SUM(E57:E58)</f>
        <v>#REF!</v>
      </c>
    </row>
    <row r="60" spans="1:5" x14ac:dyDescent="0.25">
      <c r="A60" s="808" t="s">
        <v>727</v>
      </c>
      <c r="B60" s="802" t="s">
        <v>199</v>
      </c>
      <c r="C60" s="803" t="s">
        <v>199</v>
      </c>
      <c r="D60" s="777" t="s">
        <v>199</v>
      </c>
      <c r="E60" s="783"/>
    </row>
    <row r="61" spans="1:5" x14ac:dyDescent="0.25">
      <c r="A61" s="784" t="s">
        <v>1168</v>
      </c>
      <c r="B61" s="785">
        <v>0.04</v>
      </c>
      <c r="C61" s="786">
        <v>0</v>
      </c>
      <c r="D61" s="782">
        <f>D55*B61</f>
        <v>0</v>
      </c>
      <c r="E61" s="783">
        <f>E49*C61</f>
        <v>0</v>
      </c>
    </row>
    <row r="62" spans="1:5" ht="16.5" thickBot="1" x14ac:dyDescent="0.3">
      <c r="A62" s="784" t="s">
        <v>1169</v>
      </c>
      <c r="B62" s="789">
        <v>0</v>
      </c>
      <c r="C62" s="790" t="s">
        <v>199</v>
      </c>
      <c r="D62" s="782">
        <f>D57*B62</f>
        <v>0</v>
      </c>
      <c r="E62" s="810" t="s">
        <v>199</v>
      </c>
    </row>
    <row r="63" spans="1:5" ht="16.5" thickBot="1" x14ac:dyDescent="0.3">
      <c r="A63" s="795" t="s">
        <v>831</v>
      </c>
      <c r="B63" s="796" t="s">
        <v>199</v>
      </c>
      <c r="C63" s="797" t="s">
        <v>199</v>
      </c>
      <c r="D63" s="793">
        <f>SUM(D61:D62)</f>
        <v>0</v>
      </c>
      <c r="E63" s="794">
        <f>SUM(E61:E62)</f>
        <v>0</v>
      </c>
    </row>
    <row r="64" spans="1:5" ht="16.5" thickBot="1" x14ac:dyDescent="0.3">
      <c r="A64" s="768" t="s">
        <v>832</v>
      </c>
      <c r="B64" s="800" t="s">
        <v>199</v>
      </c>
      <c r="C64" s="801" t="s">
        <v>199</v>
      </c>
      <c r="D64" s="798" t="e">
        <f>D63+D59+D55</f>
        <v>#REF!</v>
      </c>
      <c r="E64" s="798" t="e">
        <f>E63+E59+E55</f>
        <v>#REF!</v>
      </c>
    </row>
    <row r="65" spans="1:7" x14ac:dyDescent="0.25">
      <c r="A65" s="779" t="s">
        <v>728</v>
      </c>
      <c r="B65" s="811" t="s">
        <v>199</v>
      </c>
      <c r="C65" s="812" t="s">
        <v>199</v>
      </c>
      <c r="D65" s="777" t="s">
        <v>199</v>
      </c>
      <c r="E65" s="778" t="s">
        <v>199</v>
      </c>
    </row>
    <row r="66" spans="1:7" x14ac:dyDescent="0.25">
      <c r="A66" s="784" t="s">
        <v>833</v>
      </c>
      <c r="B66" s="785" t="s">
        <v>199</v>
      </c>
      <c r="C66" s="786" t="s">
        <v>199</v>
      </c>
      <c r="D66" s="782" t="s">
        <v>199</v>
      </c>
      <c r="E66" s="783" t="s">
        <v>199</v>
      </c>
    </row>
    <row r="67" spans="1:7" x14ac:dyDescent="0.25">
      <c r="A67" s="813" t="s">
        <v>821</v>
      </c>
      <c r="B67" s="849">
        <v>0.06</v>
      </c>
      <c r="C67" s="815">
        <v>0</v>
      </c>
      <c r="D67" s="782" t="e">
        <f>D64*B67</f>
        <v>#REF!</v>
      </c>
      <c r="E67" s="783">
        <f>E49*C67</f>
        <v>0</v>
      </c>
    </row>
    <row r="68" spans="1:7" ht="16.5" thickBot="1" x14ac:dyDescent="0.3">
      <c r="A68" s="818" t="s">
        <v>835</v>
      </c>
      <c r="B68" s="850" t="s">
        <v>199</v>
      </c>
      <c r="C68" s="820" t="s">
        <v>199</v>
      </c>
      <c r="D68" s="816" t="e">
        <f>SUM(D66:D67)</f>
        <v>#REF!</v>
      </c>
      <c r="E68" s="817">
        <f>SUM(E66:E67)</f>
        <v>0</v>
      </c>
      <c r="G68" s="829"/>
    </row>
    <row r="69" spans="1:7" ht="16.5" thickBot="1" x14ac:dyDescent="0.3">
      <c r="A69" s="768" t="s">
        <v>836</v>
      </c>
      <c r="B69" s="800" t="s">
        <v>199</v>
      </c>
      <c r="C69" s="801" t="s">
        <v>169</v>
      </c>
      <c r="D69" s="851" t="e">
        <f>D68+D64</f>
        <v>#REF!</v>
      </c>
      <c r="E69" s="852" t="e">
        <f>E68+E64</f>
        <v>#REF!</v>
      </c>
    </row>
    <row r="70" spans="1:7" ht="16.5" thickBot="1" x14ac:dyDescent="0.3">
      <c r="A70" s="825" t="s">
        <v>837</v>
      </c>
      <c r="B70" s="826">
        <v>0.2</v>
      </c>
      <c r="C70" s="827">
        <v>0.2</v>
      </c>
      <c r="D70" s="823" t="e">
        <f>D69*B70</f>
        <v>#REF!</v>
      </c>
      <c r="E70" s="823" t="e">
        <f>E69*C70</f>
        <v>#REF!</v>
      </c>
      <c r="G70" s="829"/>
    </row>
    <row r="71" spans="1:7" ht="16.5" thickBot="1" x14ac:dyDescent="0.3">
      <c r="A71" s="768" t="s">
        <v>838</v>
      </c>
      <c r="B71" s="775" t="s">
        <v>199</v>
      </c>
      <c r="C71" s="776" t="s">
        <v>199</v>
      </c>
      <c r="D71" s="853" t="e">
        <f>SUM(D69:D70)</f>
        <v>#REF!</v>
      </c>
      <c r="E71" s="853" t="e">
        <f>SUM(E69:E70)</f>
        <v>#REF!</v>
      </c>
    </row>
    <row r="72" spans="1:7" ht="16.5" thickBot="1" x14ac:dyDescent="0.3">
      <c r="A72" s="769" t="s">
        <v>839</v>
      </c>
      <c r="B72" s="830" t="s">
        <v>199</v>
      </c>
      <c r="C72" s="776" t="s">
        <v>199</v>
      </c>
      <c r="D72" s="1497" t="s">
        <v>199</v>
      </c>
      <c r="E72" s="1498"/>
    </row>
    <row r="73" spans="1:7" ht="16.5" thickBot="1" x14ac:dyDescent="0.3">
      <c r="A73" s="770" t="s">
        <v>840</v>
      </c>
      <c r="B73" s="833" t="e">
        <f>D69/D49</f>
        <v>#REF!</v>
      </c>
      <c r="C73" s="833"/>
      <c r="D73" s="831" t="s">
        <v>199</v>
      </c>
      <c r="E73" s="832" t="s">
        <v>199</v>
      </c>
    </row>
    <row r="74" spans="1:7" ht="16.5" thickBot="1" x14ac:dyDescent="0.3">
      <c r="A74" s="807" t="s">
        <v>841</v>
      </c>
      <c r="B74" s="836" t="s">
        <v>199</v>
      </c>
      <c r="C74" s="837" t="s">
        <v>199</v>
      </c>
      <c r="D74" s="834" t="s">
        <v>199</v>
      </c>
      <c r="E74" s="835" t="s">
        <v>199</v>
      </c>
    </row>
    <row r="75" spans="1:7" ht="16.5" thickBot="1" x14ac:dyDescent="0.3">
      <c r="A75" s="795" t="s">
        <v>842</v>
      </c>
      <c r="B75" s="840" t="s">
        <v>199</v>
      </c>
      <c r="C75" s="841" t="e">
        <f>E69/E49</f>
        <v>#REF!</v>
      </c>
      <c r="D75" s="838" t="s">
        <v>199</v>
      </c>
      <c r="E75" s="839"/>
    </row>
    <row r="76" spans="1:7" ht="16.5" thickBot="1" x14ac:dyDescent="0.3">
      <c r="A76" s="766" t="s">
        <v>1163</v>
      </c>
      <c r="B76" s="844" t="s">
        <v>199</v>
      </c>
      <c r="C76" s="845" t="s">
        <v>199</v>
      </c>
      <c r="D76" s="821" t="s">
        <v>199</v>
      </c>
      <c r="E76" s="828" t="s">
        <v>199</v>
      </c>
    </row>
    <row r="77" spans="1:7" x14ac:dyDescent="0.25">
      <c r="B77" s="356" t="s">
        <v>199</v>
      </c>
      <c r="C77" s="356" t="s">
        <v>199</v>
      </c>
      <c r="D77" s="356" t="s">
        <v>199</v>
      </c>
      <c r="E77" s="356" t="s">
        <v>199</v>
      </c>
    </row>
    <row r="78" spans="1:7" x14ac:dyDescent="0.25">
      <c r="B78" s="846"/>
      <c r="C78" s="356" t="s">
        <v>199</v>
      </c>
      <c r="E78" s="356" t="s">
        <v>199</v>
      </c>
    </row>
    <row r="79" spans="1:7" ht="16.5" thickBot="1" x14ac:dyDescent="0.3">
      <c r="B79" s="847"/>
    </row>
    <row r="80" spans="1:7" ht="16.5" thickBot="1" x14ac:dyDescent="0.3">
      <c r="A80" s="854" t="s">
        <v>1170</v>
      </c>
      <c r="B80" s="855" t="e">
        <f>D69+E69</f>
        <v>#REF!</v>
      </c>
    </row>
    <row r="81" spans="1:2" ht="16.5" thickBot="1" x14ac:dyDescent="0.3"/>
    <row r="82" spans="1:2" ht="16.5" thickBot="1" x14ac:dyDescent="0.3">
      <c r="A82" s="854" t="s">
        <v>1171</v>
      </c>
      <c r="B82" s="855" t="e">
        <f>D71+E71</f>
        <v>#REF!</v>
      </c>
    </row>
  </sheetData>
  <mergeCells count="12">
    <mergeCell ref="D72:E72"/>
    <mergeCell ref="A2:A5"/>
    <mergeCell ref="B2:E2"/>
    <mergeCell ref="B3:E3"/>
    <mergeCell ref="C4:E4"/>
    <mergeCell ref="B10:C10"/>
    <mergeCell ref="D28:E28"/>
    <mergeCell ref="A45:A48"/>
    <mergeCell ref="B45:E45"/>
    <mergeCell ref="B46:E46"/>
    <mergeCell ref="C47:E47"/>
    <mergeCell ref="B53:C53"/>
  </mergeCells>
  <printOptions horizontalCentered="1"/>
  <pageMargins left="0.25" right="0.25" top="0.75" bottom="0.75" header="0.3" footer="0.3"/>
  <pageSetup paperSize="9" scale="98" orientation="portrait" r:id="rId1"/>
  <headerFooter>
    <oddFooter>Page &amp;P de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D70E-2DD4-41E9-9076-B9FACA7323E1}">
  <dimension ref="A1:S35"/>
  <sheetViews>
    <sheetView view="pageLayout" zoomScaleNormal="100" workbookViewId="0">
      <selection activeCell="B2" sqref="B2:B3"/>
    </sheetView>
  </sheetViews>
  <sheetFormatPr baseColWidth="10" defaultRowHeight="15.75" x14ac:dyDescent="0.25"/>
  <cols>
    <col min="1" max="1" width="34.7109375" style="356" customWidth="1"/>
    <col min="2" max="3" width="13.140625" style="356" customWidth="1"/>
    <col min="4" max="5" width="18.42578125" style="356" customWidth="1"/>
    <col min="6" max="6" width="10.85546875" style="356"/>
    <col min="7" max="7" width="7.140625" style="356" customWidth="1"/>
    <col min="8" max="14" width="9.7109375" style="356" customWidth="1"/>
    <col min="15" max="15" width="10.85546875" style="356"/>
    <col min="16" max="16" width="11.42578125" style="356" customWidth="1"/>
    <col min="17" max="17" width="15.7109375" style="356" customWidth="1"/>
    <col min="18" max="18" width="10.85546875" style="356"/>
    <col min="19" max="19" width="16.7109375" style="356" customWidth="1"/>
    <col min="20" max="239" width="10.85546875" style="356"/>
    <col min="240" max="240" width="34.7109375" style="356" customWidth="1"/>
    <col min="241" max="241" width="17.140625" style="356" customWidth="1"/>
    <col min="242" max="242" width="10.85546875" style="356"/>
    <col min="243" max="243" width="17.85546875" style="356" customWidth="1"/>
    <col min="244" max="244" width="17.42578125" style="356" customWidth="1"/>
    <col min="245" max="255" width="10.85546875" style="356"/>
    <col min="256" max="256" width="34.7109375" style="356" customWidth="1"/>
    <col min="257" max="258" width="12.7109375" style="356" customWidth="1"/>
    <col min="259" max="259" width="17.85546875" style="356" customWidth="1"/>
    <col min="260" max="260" width="17.42578125" style="356" customWidth="1"/>
    <col min="261" max="262" width="10.85546875" style="356"/>
    <col min="263" max="263" width="7.140625" style="356" customWidth="1"/>
    <col min="264" max="270" width="9.7109375" style="356" customWidth="1"/>
    <col min="271" max="271" width="10.85546875" style="356"/>
    <col min="272" max="272" width="11.42578125" style="356" customWidth="1"/>
    <col min="273" max="273" width="15.7109375" style="356" customWidth="1"/>
    <col min="274" max="274" width="10.85546875" style="356"/>
    <col min="275" max="275" width="16.7109375" style="356" customWidth="1"/>
    <col min="276" max="495" width="10.85546875" style="356"/>
    <col min="496" max="496" width="34.7109375" style="356" customWidth="1"/>
    <col min="497" max="497" width="17.140625" style="356" customWidth="1"/>
    <col min="498" max="498" width="10.85546875" style="356"/>
    <col min="499" max="499" width="17.85546875" style="356" customWidth="1"/>
    <col min="500" max="500" width="17.42578125" style="356" customWidth="1"/>
    <col min="501" max="511" width="10.85546875" style="356"/>
    <col min="512" max="512" width="34.7109375" style="356" customWidth="1"/>
    <col min="513" max="514" width="12.7109375" style="356" customWidth="1"/>
    <col min="515" max="515" width="17.85546875" style="356" customWidth="1"/>
    <col min="516" max="516" width="17.42578125" style="356" customWidth="1"/>
    <col min="517" max="518" width="10.85546875" style="356"/>
    <col min="519" max="519" width="7.140625" style="356" customWidth="1"/>
    <col min="520" max="526" width="9.7109375" style="356" customWidth="1"/>
    <col min="527" max="527" width="10.85546875" style="356"/>
    <col min="528" max="528" width="11.42578125" style="356" customWidth="1"/>
    <col min="529" max="529" width="15.7109375" style="356" customWidth="1"/>
    <col min="530" max="530" width="10.85546875" style="356"/>
    <col min="531" max="531" width="16.7109375" style="356" customWidth="1"/>
    <col min="532" max="751" width="10.85546875" style="356"/>
    <col min="752" max="752" width="34.7109375" style="356" customWidth="1"/>
    <col min="753" max="753" width="17.140625" style="356" customWidth="1"/>
    <col min="754" max="754" width="10.85546875" style="356"/>
    <col min="755" max="755" width="17.85546875" style="356" customWidth="1"/>
    <col min="756" max="756" width="17.42578125" style="356" customWidth="1"/>
    <col min="757" max="767" width="10.85546875" style="356"/>
    <col min="768" max="768" width="34.7109375" style="356" customWidth="1"/>
    <col min="769" max="770" width="12.7109375" style="356" customWidth="1"/>
    <col min="771" max="771" width="17.85546875" style="356" customWidth="1"/>
    <col min="772" max="772" width="17.42578125" style="356" customWidth="1"/>
    <col min="773" max="774" width="10.85546875" style="356"/>
    <col min="775" max="775" width="7.140625" style="356" customWidth="1"/>
    <col min="776" max="782" width="9.7109375" style="356" customWidth="1"/>
    <col min="783" max="783" width="10.85546875" style="356"/>
    <col min="784" max="784" width="11.42578125" style="356" customWidth="1"/>
    <col min="785" max="785" width="15.7109375" style="356" customWidth="1"/>
    <col min="786" max="786" width="10.85546875" style="356"/>
    <col min="787" max="787" width="16.7109375" style="356" customWidth="1"/>
    <col min="788" max="1007" width="10.85546875" style="356"/>
    <col min="1008" max="1008" width="34.7109375" style="356" customWidth="1"/>
    <col min="1009" max="1009" width="17.140625" style="356" customWidth="1"/>
    <col min="1010" max="1010" width="10.85546875" style="356"/>
    <col min="1011" max="1011" width="17.85546875" style="356" customWidth="1"/>
    <col min="1012" max="1012" width="17.42578125" style="356" customWidth="1"/>
    <col min="1013" max="1023" width="10.85546875" style="356"/>
    <col min="1024" max="1024" width="34.7109375" style="356" customWidth="1"/>
    <col min="1025" max="1026" width="12.7109375" style="356" customWidth="1"/>
    <col min="1027" max="1027" width="17.85546875" style="356" customWidth="1"/>
    <col min="1028" max="1028" width="17.42578125" style="356" customWidth="1"/>
    <col min="1029" max="1030" width="10.85546875" style="356"/>
    <col min="1031" max="1031" width="7.140625" style="356" customWidth="1"/>
    <col min="1032" max="1038" width="9.7109375" style="356" customWidth="1"/>
    <col min="1039" max="1039" width="10.85546875" style="356"/>
    <col min="1040" max="1040" width="11.42578125" style="356" customWidth="1"/>
    <col min="1041" max="1041" width="15.7109375" style="356" customWidth="1"/>
    <col min="1042" max="1042" width="10.85546875" style="356"/>
    <col min="1043" max="1043" width="16.7109375" style="356" customWidth="1"/>
    <col min="1044" max="1263" width="10.85546875" style="356"/>
    <col min="1264" max="1264" width="34.7109375" style="356" customWidth="1"/>
    <col min="1265" max="1265" width="17.140625" style="356" customWidth="1"/>
    <col min="1266" max="1266" width="10.85546875" style="356"/>
    <col min="1267" max="1267" width="17.85546875" style="356" customWidth="1"/>
    <col min="1268" max="1268" width="17.42578125" style="356" customWidth="1"/>
    <col min="1269" max="1279" width="10.85546875" style="356"/>
    <col min="1280" max="1280" width="34.7109375" style="356" customWidth="1"/>
    <col min="1281" max="1282" width="12.7109375" style="356" customWidth="1"/>
    <col min="1283" max="1283" width="17.85546875" style="356" customWidth="1"/>
    <col min="1284" max="1284" width="17.42578125" style="356" customWidth="1"/>
    <col min="1285" max="1286" width="10.85546875" style="356"/>
    <col min="1287" max="1287" width="7.140625" style="356" customWidth="1"/>
    <col min="1288" max="1294" width="9.7109375" style="356" customWidth="1"/>
    <col min="1295" max="1295" width="10.85546875" style="356"/>
    <col min="1296" max="1296" width="11.42578125" style="356" customWidth="1"/>
    <col min="1297" max="1297" width="15.7109375" style="356" customWidth="1"/>
    <col min="1298" max="1298" width="10.85546875" style="356"/>
    <col min="1299" max="1299" width="16.7109375" style="356" customWidth="1"/>
    <col min="1300" max="1519" width="10.85546875" style="356"/>
    <col min="1520" max="1520" width="34.7109375" style="356" customWidth="1"/>
    <col min="1521" max="1521" width="17.140625" style="356" customWidth="1"/>
    <col min="1522" max="1522" width="10.85546875" style="356"/>
    <col min="1523" max="1523" width="17.85546875" style="356" customWidth="1"/>
    <col min="1524" max="1524" width="17.42578125" style="356" customWidth="1"/>
    <col min="1525" max="1535" width="10.85546875" style="356"/>
    <col min="1536" max="1536" width="34.7109375" style="356" customWidth="1"/>
    <col min="1537" max="1538" width="12.7109375" style="356" customWidth="1"/>
    <col min="1539" max="1539" width="17.85546875" style="356" customWidth="1"/>
    <col min="1540" max="1540" width="17.42578125" style="356" customWidth="1"/>
    <col min="1541" max="1542" width="10.85546875" style="356"/>
    <col min="1543" max="1543" width="7.140625" style="356" customWidth="1"/>
    <col min="1544" max="1550" width="9.7109375" style="356" customWidth="1"/>
    <col min="1551" max="1551" width="10.85546875" style="356"/>
    <col min="1552" max="1552" width="11.42578125" style="356" customWidth="1"/>
    <col min="1553" max="1553" width="15.7109375" style="356" customWidth="1"/>
    <col min="1554" max="1554" width="10.85546875" style="356"/>
    <col min="1555" max="1555" width="16.7109375" style="356" customWidth="1"/>
    <col min="1556" max="1775" width="10.85546875" style="356"/>
    <col min="1776" max="1776" width="34.7109375" style="356" customWidth="1"/>
    <col min="1777" max="1777" width="17.140625" style="356" customWidth="1"/>
    <col min="1778" max="1778" width="10.85546875" style="356"/>
    <col min="1779" max="1779" width="17.85546875" style="356" customWidth="1"/>
    <col min="1780" max="1780" width="17.42578125" style="356" customWidth="1"/>
    <col min="1781" max="1791" width="10.85546875" style="356"/>
    <col min="1792" max="1792" width="34.7109375" style="356" customWidth="1"/>
    <col min="1793" max="1794" width="12.7109375" style="356" customWidth="1"/>
    <col min="1795" max="1795" width="17.85546875" style="356" customWidth="1"/>
    <col min="1796" max="1796" width="17.42578125" style="356" customWidth="1"/>
    <col min="1797" max="1798" width="10.85546875" style="356"/>
    <col min="1799" max="1799" width="7.140625" style="356" customWidth="1"/>
    <col min="1800" max="1806" width="9.7109375" style="356" customWidth="1"/>
    <col min="1807" max="1807" width="10.85546875" style="356"/>
    <col min="1808" max="1808" width="11.42578125" style="356" customWidth="1"/>
    <col min="1809" max="1809" width="15.7109375" style="356" customWidth="1"/>
    <col min="1810" max="1810" width="10.85546875" style="356"/>
    <col min="1811" max="1811" width="16.7109375" style="356" customWidth="1"/>
    <col min="1812" max="2031" width="10.85546875" style="356"/>
    <col min="2032" max="2032" width="34.7109375" style="356" customWidth="1"/>
    <col min="2033" max="2033" width="17.140625" style="356" customWidth="1"/>
    <col min="2034" max="2034" width="10.85546875" style="356"/>
    <col min="2035" max="2035" width="17.85546875" style="356" customWidth="1"/>
    <col min="2036" max="2036" width="17.42578125" style="356" customWidth="1"/>
    <col min="2037" max="2047" width="10.85546875" style="356"/>
    <col min="2048" max="2048" width="34.7109375" style="356" customWidth="1"/>
    <col min="2049" max="2050" width="12.7109375" style="356" customWidth="1"/>
    <col min="2051" max="2051" width="17.85546875" style="356" customWidth="1"/>
    <col min="2052" max="2052" width="17.42578125" style="356" customWidth="1"/>
    <col min="2053" max="2054" width="10.85546875" style="356"/>
    <col min="2055" max="2055" width="7.140625" style="356" customWidth="1"/>
    <col min="2056" max="2062" width="9.7109375" style="356" customWidth="1"/>
    <col min="2063" max="2063" width="10.85546875" style="356"/>
    <col min="2064" max="2064" width="11.42578125" style="356" customWidth="1"/>
    <col min="2065" max="2065" width="15.7109375" style="356" customWidth="1"/>
    <col min="2066" max="2066" width="10.85546875" style="356"/>
    <col min="2067" max="2067" width="16.7109375" style="356" customWidth="1"/>
    <col min="2068" max="2287" width="10.85546875" style="356"/>
    <col min="2288" max="2288" width="34.7109375" style="356" customWidth="1"/>
    <col min="2289" max="2289" width="17.140625" style="356" customWidth="1"/>
    <col min="2290" max="2290" width="10.85546875" style="356"/>
    <col min="2291" max="2291" width="17.85546875" style="356" customWidth="1"/>
    <col min="2292" max="2292" width="17.42578125" style="356" customWidth="1"/>
    <col min="2293" max="2303" width="10.85546875" style="356"/>
    <col min="2304" max="2304" width="34.7109375" style="356" customWidth="1"/>
    <col min="2305" max="2306" width="12.7109375" style="356" customWidth="1"/>
    <col min="2307" max="2307" width="17.85546875" style="356" customWidth="1"/>
    <col min="2308" max="2308" width="17.42578125" style="356" customWidth="1"/>
    <col min="2309" max="2310" width="10.85546875" style="356"/>
    <col min="2311" max="2311" width="7.140625" style="356" customWidth="1"/>
    <col min="2312" max="2318" width="9.7109375" style="356" customWidth="1"/>
    <col min="2319" max="2319" width="10.85546875" style="356"/>
    <col min="2320" max="2320" width="11.42578125" style="356" customWidth="1"/>
    <col min="2321" max="2321" width="15.7109375" style="356" customWidth="1"/>
    <col min="2322" max="2322" width="10.85546875" style="356"/>
    <col min="2323" max="2323" width="16.7109375" style="356" customWidth="1"/>
    <col min="2324" max="2543" width="10.85546875" style="356"/>
    <col min="2544" max="2544" width="34.7109375" style="356" customWidth="1"/>
    <col min="2545" max="2545" width="17.140625" style="356" customWidth="1"/>
    <col min="2546" max="2546" width="10.85546875" style="356"/>
    <col min="2547" max="2547" width="17.85546875" style="356" customWidth="1"/>
    <col min="2548" max="2548" width="17.42578125" style="356" customWidth="1"/>
    <col min="2549" max="2559" width="10.85546875" style="356"/>
    <col min="2560" max="2560" width="34.7109375" style="356" customWidth="1"/>
    <col min="2561" max="2562" width="12.7109375" style="356" customWidth="1"/>
    <col min="2563" max="2563" width="17.85546875" style="356" customWidth="1"/>
    <col min="2564" max="2564" width="17.42578125" style="356" customWidth="1"/>
    <col min="2565" max="2566" width="10.85546875" style="356"/>
    <col min="2567" max="2567" width="7.140625" style="356" customWidth="1"/>
    <col min="2568" max="2574" width="9.7109375" style="356" customWidth="1"/>
    <col min="2575" max="2575" width="10.85546875" style="356"/>
    <col min="2576" max="2576" width="11.42578125" style="356" customWidth="1"/>
    <col min="2577" max="2577" width="15.7109375" style="356" customWidth="1"/>
    <col min="2578" max="2578" width="10.85546875" style="356"/>
    <col min="2579" max="2579" width="16.7109375" style="356" customWidth="1"/>
    <col min="2580" max="2799" width="10.85546875" style="356"/>
    <col min="2800" max="2800" width="34.7109375" style="356" customWidth="1"/>
    <col min="2801" max="2801" width="17.140625" style="356" customWidth="1"/>
    <col min="2802" max="2802" width="10.85546875" style="356"/>
    <col min="2803" max="2803" width="17.85546875" style="356" customWidth="1"/>
    <col min="2804" max="2804" width="17.42578125" style="356" customWidth="1"/>
    <col min="2805" max="2815" width="10.85546875" style="356"/>
    <col min="2816" max="2816" width="34.7109375" style="356" customWidth="1"/>
    <col min="2817" max="2818" width="12.7109375" style="356" customWidth="1"/>
    <col min="2819" max="2819" width="17.85546875" style="356" customWidth="1"/>
    <col min="2820" max="2820" width="17.42578125" style="356" customWidth="1"/>
    <col min="2821" max="2822" width="10.85546875" style="356"/>
    <col min="2823" max="2823" width="7.140625" style="356" customWidth="1"/>
    <col min="2824" max="2830" width="9.7109375" style="356" customWidth="1"/>
    <col min="2831" max="2831" width="10.85546875" style="356"/>
    <col min="2832" max="2832" width="11.42578125" style="356" customWidth="1"/>
    <col min="2833" max="2833" width="15.7109375" style="356" customWidth="1"/>
    <col min="2834" max="2834" width="10.85546875" style="356"/>
    <col min="2835" max="2835" width="16.7109375" style="356" customWidth="1"/>
    <col min="2836" max="3055" width="10.85546875" style="356"/>
    <col min="3056" max="3056" width="34.7109375" style="356" customWidth="1"/>
    <col min="3057" max="3057" width="17.140625" style="356" customWidth="1"/>
    <col min="3058" max="3058" width="10.85546875" style="356"/>
    <col min="3059" max="3059" width="17.85546875" style="356" customWidth="1"/>
    <col min="3060" max="3060" width="17.42578125" style="356" customWidth="1"/>
    <col min="3061" max="3071" width="10.85546875" style="356"/>
    <col min="3072" max="3072" width="34.7109375" style="356" customWidth="1"/>
    <col min="3073" max="3074" width="12.7109375" style="356" customWidth="1"/>
    <col min="3075" max="3075" width="17.85546875" style="356" customWidth="1"/>
    <col min="3076" max="3076" width="17.42578125" style="356" customWidth="1"/>
    <col min="3077" max="3078" width="10.85546875" style="356"/>
    <col min="3079" max="3079" width="7.140625" style="356" customWidth="1"/>
    <col min="3080" max="3086" width="9.7109375" style="356" customWidth="1"/>
    <col min="3087" max="3087" width="10.85546875" style="356"/>
    <col min="3088" max="3088" width="11.42578125" style="356" customWidth="1"/>
    <col min="3089" max="3089" width="15.7109375" style="356" customWidth="1"/>
    <col min="3090" max="3090" width="10.85546875" style="356"/>
    <col min="3091" max="3091" width="16.7109375" style="356" customWidth="1"/>
    <col min="3092" max="3311" width="10.85546875" style="356"/>
    <col min="3312" max="3312" width="34.7109375" style="356" customWidth="1"/>
    <col min="3313" max="3313" width="17.140625" style="356" customWidth="1"/>
    <col min="3314" max="3314" width="10.85546875" style="356"/>
    <col min="3315" max="3315" width="17.85546875" style="356" customWidth="1"/>
    <col min="3316" max="3316" width="17.42578125" style="356" customWidth="1"/>
    <col min="3317" max="3327" width="10.85546875" style="356"/>
    <col min="3328" max="3328" width="34.7109375" style="356" customWidth="1"/>
    <col min="3329" max="3330" width="12.7109375" style="356" customWidth="1"/>
    <col min="3331" max="3331" width="17.85546875" style="356" customWidth="1"/>
    <col min="3332" max="3332" width="17.42578125" style="356" customWidth="1"/>
    <col min="3333" max="3334" width="10.85546875" style="356"/>
    <col min="3335" max="3335" width="7.140625" style="356" customWidth="1"/>
    <col min="3336" max="3342" width="9.7109375" style="356" customWidth="1"/>
    <col min="3343" max="3343" width="10.85546875" style="356"/>
    <col min="3344" max="3344" width="11.42578125" style="356" customWidth="1"/>
    <col min="3345" max="3345" width="15.7109375" style="356" customWidth="1"/>
    <col min="3346" max="3346" width="10.85546875" style="356"/>
    <col min="3347" max="3347" width="16.7109375" style="356" customWidth="1"/>
    <col min="3348" max="3567" width="10.85546875" style="356"/>
    <col min="3568" max="3568" width="34.7109375" style="356" customWidth="1"/>
    <col min="3569" max="3569" width="17.140625" style="356" customWidth="1"/>
    <col min="3570" max="3570" width="10.85546875" style="356"/>
    <col min="3571" max="3571" width="17.85546875" style="356" customWidth="1"/>
    <col min="3572" max="3572" width="17.42578125" style="356" customWidth="1"/>
    <col min="3573" max="3583" width="10.85546875" style="356"/>
    <col min="3584" max="3584" width="34.7109375" style="356" customWidth="1"/>
    <col min="3585" max="3586" width="12.7109375" style="356" customWidth="1"/>
    <col min="3587" max="3587" width="17.85546875" style="356" customWidth="1"/>
    <col min="3588" max="3588" width="17.42578125" style="356" customWidth="1"/>
    <col min="3589" max="3590" width="10.85546875" style="356"/>
    <col min="3591" max="3591" width="7.140625" style="356" customWidth="1"/>
    <col min="3592" max="3598" width="9.7109375" style="356" customWidth="1"/>
    <col min="3599" max="3599" width="10.85546875" style="356"/>
    <col min="3600" max="3600" width="11.42578125" style="356" customWidth="1"/>
    <col min="3601" max="3601" width="15.7109375" style="356" customWidth="1"/>
    <col min="3602" max="3602" width="10.85546875" style="356"/>
    <col min="3603" max="3603" width="16.7109375" style="356" customWidth="1"/>
    <col min="3604" max="3823" width="10.85546875" style="356"/>
    <col min="3824" max="3824" width="34.7109375" style="356" customWidth="1"/>
    <col min="3825" max="3825" width="17.140625" style="356" customWidth="1"/>
    <col min="3826" max="3826" width="10.85546875" style="356"/>
    <col min="3827" max="3827" width="17.85546875" style="356" customWidth="1"/>
    <col min="3828" max="3828" width="17.42578125" style="356" customWidth="1"/>
    <col min="3829" max="3839" width="10.85546875" style="356"/>
    <col min="3840" max="3840" width="34.7109375" style="356" customWidth="1"/>
    <col min="3841" max="3842" width="12.7109375" style="356" customWidth="1"/>
    <col min="3843" max="3843" width="17.85546875" style="356" customWidth="1"/>
    <col min="3844" max="3844" width="17.42578125" style="356" customWidth="1"/>
    <col min="3845" max="3846" width="10.85546875" style="356"/>
    <col min="3847" max="3847" width="7.140625" style="356" customWidth="1"/>
    <col min="3848" max="3854" width="9.7109375" style="356" customWidth="1"/>
    <col min="3855" max="3855" width="10.85546875" style="356"/>
    <col min="3856" max="3856" width="11.42578125" style="356" customWidth="1"/>
    <col min="3857" max="3857" width="15.7109375" style="356" customWidth="1"/>
    <col min="3858" max="3858" width="10.85546875" style="356"/>
    <col min="3859" max="3859" width="16.7109375" style="356" customWidth="1"/>
    <col min="3860" max="4079" width="10.85546875" style="356"/>
    <col min="4080" max="4080" width="34.7109375" style="356" customWidth="1"/>
    <col min="4081" max="4081" width="17.140625" style="356" customWidth="1"/>
    <col min="4082" max="4082" width="10.85546875" style="356"/>
    <col min="4083" max="4083" width="17.85546875" style="356" customWidth="1"/>
    <col min="4084" max="4084" width="17.42578125" style="356" customWidth="1"/>
    <col min="4085" max="4095" width="10.85546875" style="356"/>
    <col min="4096" max="4096" width="34.7109375" style="356" customWidth="1"/>
    <col min="4097" max="4098" width="12.7109375" style="356" customWidth="1"/>
    <col min="4099" max="4099" width="17.85546875" style="356" customWidth="1"/>
    <col min="4100" max="4100" width="17.42578125" style="356" customWidth="1"/>
    <col min="4101" max="4102" width="10.85546875" style="356"/>
    <col min="4103" max="4103" width="7.140625" style="356" customWidth="1"/>
    <col min="4104" max="4110" width="9.7109375" style="356" customWidth="1"/>
    <col min="4111" max="4111" width="10.85546875" style="356"/>
    <col min="4112" max="4112" width="11.42578125" style="356" customWidth="1"/>
    <col min="4113" max="4113" width="15.7109375" style="356" customWidth="1"/>
    <col min="4114" max="4114" width="10.85546875" style="356"/>
    <col min="4115" max="4115" width="16.7109375" style="356" customWidth="1"/>
    <col min="4116" max="4335" width="10.85546875" style="356"/>
    <col min="4336" max="4336" width="34.7109375" style="356" customWidth="1"/>
    <col min="4337" max="4337" width="17.140625" style="356" customWidth="1"/>
    <col min="4338" max="4338" width="10.85546875" style="356"/>
    <col min="4339" max="4339" width="17.85546875" style="356" customWidth="1"/>
    <col min="4340" max="4340" width="17.42578125" style="356" customWidth="1"/>
    <col min="4341" max="4351" width="10.85546875" style="356"/>
    <col min="4352" max="4352" width="34.7109375" style="356" customWidth="1"/>
    <col min="4353" max="4354" width="12.7109375" style="356" customWidth="1"/>
    <col min="4355" max="4355" width="17.85546875" style="356" customWidth="1"/>
    <col min="4356" max="4356" width="17.42578125" style="356" customWidth="1"/>
    <col min="4357" max="4358" width="10.85546875" style="356"/>
    <col min="4359" max="4359" width="7.140625" style="356" customWidth="1"/>
    <col min="4360" max="4366" width="9.7109375" style="356" customWidth="1"/>
    <col min="4367" max="4367" width="10.85546875" style="356"/>
    <col min="4368" max="4368" width="11.42578125" style="356" customWidth="1"/>
    <col min="4369" max="4369" width="15.7109375" style="356" customWidth="1"/>
    <col min="4370" max="4370" width="10.85546875" style="356"/>
    <col min="4371" max="4371" width="16.7109375" style="356" customWidth="1"/>
    <col min="4372" max="4591" width="10.85546875" style="356"/>
    <col min="4592" max="4592" width="34.7109375" style="356" customWidth="1"/>
    <col min="4593" max="4593" width="17.140625" style="356" customWidth="1"/>
    <col min="4594" max="4594" width="10.85546875" style="356"/>
    <col min="4595" max="4595" width="17.85546875" style="356" customWidth="1"/>
    <col min="4596" max="4596" width="17.42578125" style="356" customWidth="1"/>
    <col min="4597" max="4607" width="10.85546875" style="356"/>
    <col min="4608" max="4608" width="34.7109375" style="356" customWidth="1"/>
    <col min="4609" max="4610" width="12.7109375" style="356" customWidth="1"/>
    <col min="4611" max="4611" width="17.85546875" style="356" customWidth="1"/>
    <col min="4612" max="4612" width="17.42578125" style="356" customWidth="1"/>
    <col min="4613" max="4614" width="10.85546875" style="356"/>
    <col min="4615" max="4615" width="7.140625" style="356" customWidth="1"/>
    <col min="4616" max="4622" width="9.7109375" style="356" customWidth="1"/>
    <col min="4623" max="4623" width="10.85546875" style="356"/>
    <col min="4624" max="4624" width="11.42578125" style="356" customWidth="1"/>
    <col min="4625" max="4625" width="15.7109375" style="356" customWidth="1"/>
    <col min="4626" max="4626" width="10.85546875" style="356"/>
    <col min="4627" max="4627" width="16.7109375" style="356" customWidth="1"/>
    <col min="4628" max="4847" width="10.85546875" style="356"/>
    <col min="4848" max="4848" width="34.7109375" style="356" customWidth="1"/>
    <col min="4849" max="4849" width="17.140625" style="356" customWidth="1"/>
    <col min="4850" max="4850" width="10.85546875" style="356"/>
    <col min="4851" max="4851" width="17.85546875" style="356" customWidth="1"/>
    <col min="4852" max="4852" width="17.42578125" style="356" customWidth="1"/>
    <col min="4853" max="4863" width="10.85546875" style="356"/>
    <col min="4864" max="4864" width="34.7109375" style="356" customWidth="1"/>
    <col min="4865" max="4866" width="12.7109375" style="356" customWidth="1"/>
    <col min="4867" max="4867" width="17.85546875" style="356" customWidth="1"/>
    <col min="4868" max="4868" width="17.42578125" style="356" customWidth="1"/>
    <col min="4869" max="4870" width="10.85546875" style="356"/>
    <col min="4871" max="4871" width="7.140625" style="356" customWidth="1"/>
    <col min="4872" max="4878" width="9.7109375" style="356" customWidth="1"/>
    <col min="4879" max="4879" width="10.85546875" style="356"/>
    <col min="4880" max="4880" width="11.42578125" style="356" customWidth="1"/>
    <col min="4881" max="4881" width="15.7109375" style="356" customWidth="1"/>
    <col min="4882" max="4882" width="10.85546875" style="356"/>
    <col min="4883" max="4883" width="16.7109375" style="356" customWidth="1"/>
    <col min="4884" max="5103" width="10.85546875" style="356"/>
    <col min="5104" max="5104" width="34.7109375" style="356" customWidth="1"/>
    <col min="5105" max="5105" width="17.140625" style="356" customWidth="1"/>
    <col min="5106" max="5106" width="10.85546875" style="356"/>
    <col min="5107" max="5107" width="17.85546875" style="356" customWidth="1"/>
    <col min="5108" max="5108" width="17.42578125" style="356" customWidth="1"/>
    <col min="5109" max="5119" width="10.85546875" style="356"/>
    <col min="5120" max="5120" width="34.7109375" style="356" customWidth="1"/>
    <col min="5121" max="5122" width="12.7109375" style="356" customWidth="1"/>
    <col min="5123" max="5123" width="17.85546875" style="356" customWidth="1"/>
    <col min="5124" max="5124" width="17.42578125" style="356" customWidth="1"/>
    <col min="5125" max="5126" width="10.85546875" style="356"/>
    <col min="5127" max="5127" width="7.140625" style="356" customWidth="1"/>
    <col min="5128" max="5134" width="9.7109375" style="356" customWidth="1"/>
    <col min="5135" max="5135" width="10.85546875" style="356"/>
    <col min="5136" max="5136" width="11.42578125" style="356" customWidth="1"/>
    <col min="5137" max="5137" width="15.7109375" style="356" customWidth="1"/>
    <col min="5138" max="5138" width="10.85546875" style="356"/>
    <col min="5139" max="5139" width="16.7109375" style="356" customWidth="1"/>
    <col min="5140" max="5359" width="10.85546875" style="356"/>
    <col min="5360" max="5360" width="34.7109375" style="356" customWidth="1"/>
    <col min="5361" max="5361" width="17.140625" style="356" customWidth="1"/>
    <col min="5362" max="5362" width="10.85546875" style="356"/>
    <col min="5363" max="5363" width="17.85546875" style="356" customWidth="1"/>
    <col min="5364" max="5364" width="17.42578125" style="356" customWidth="1"/>
    <col min="5365" max="5375" width="10.85546875" style="356"/>
    <col min="5376" max="5376" width="34.7109375" style="356" customWidth="1"/>
    <col min="5377" max="5378" width="12.7109375" style="356" customWidth="1"/>
    <col min="5379" max="5379" width="17.85546875" style="356" customWidth="1"/>
    <col min="5380" max="5380" width="17.42578125" style="356" customWidth="1"/>
    <col min="5381" max="5382" width="10.85546875" style="356"/>
    <col min="5383" max="5383" width="7.140625" style="356" customWidth="1"/>
    <col min="5384" max="5390" width="9.7109375" style="356" customWidth="1"/>
    <col min="5391" max="5391" width="10.85546875" style="356"/>
    <col min="5392" max="5392" width="11.42578125" style="356" customWidth="1"/>
    <col min="5393" max="5393" width="15.7109375" style="356" customWidth="1"/>
    <col min="5394" max="5394" width="10.85546875" style="356"/>
    <col min="5395" max="5395" width="16.7109375" style="356" customWidth="1"/>
    <col min="5396" max="5615" width="10.85546875" style="356"/>
    <col min="5616" max="5616" width="34.7109375" style="356" customWidth="1"/>
    <col min="5617" max="5617" width="17.140625" style="356" customWidth="1"/>
    <col min="5618" max="5618" width="10.85546875" style="356"/>
    <col min="5619" max="5619" width="17.85546875" style="356" customWidth="1"/>
    <col min="5620" max="5620" width="17.42578125" style="356" customWidth="1"/>
    <col min="5621" max="5631" width="10.85546875" style="356"/>
    <col min="5632" max="5632" width="34.7109375" style="356" customWidth="1"/>
    <col min="5633" max="5634" width="12.7109375" style="356" customWidth="1"/>
    <col min="5635" max="5635" width="17.85546875" style="356" customWidth="1"/>
    <col min="5636" max="5636" width="17.42578125" style="356" customWidth="1"/>
    <col min="5637" max="5638" width="10.85546875" style="356"/>
    <col min="5639" max="5639" width="7.140625" style="356" customWidth="1"/>
    <col min="5640" max="5646" width="9.7109375" style="356" customWidth="1"/>
    <col min="5647" max="5647" width="10.85546875" style="356"/>
    <col min="5648" max="5648" width="11.42578125" style="356" customWidth="1"/>
    <col min="5649" max="5649" width="15.7109375" style="356" customWidth="1"/>
    <col min="5650" max="5650" width="10.85546875" style="356"/>
    <col min="5651" max="5651" width="16.7109375" style="356" customWidth="1"/>
    <col min="5652" max="5871" width="10.85546875" style="356"/>
    <col min="5872" max="5872" width="34.7109375" style="356" customWidth="1"/>
    <col min="5873" max="5873" width="17.140625" style="356" customWidth="1"/>
    <col min="5874" max="5874" width="10.85546875" style="356"/>
    <col min="5875" max="5875" width="17.85546875" style="356" customWidth="1"/>
    <col min="5876" max="5876" width="17.42578125" style="356" customWidth="1"/>
    <col min="5877" max="5887" width="10.85546875" style="356"/>
    <col min="5888" max="5888" width="34.7109375" style="356" customWidth="1"/>
    <col min="5889" max="5890" width="12.7109375" style="356" customWidth="1"/>
    <col min="5891" max="5891" width="17.85546875" style="356" customWidth="1"/>
    <col min="5892" max="5892" width="17.42578125" style="356" customWidth="1"/>
    <col min="5893" max="5894" width="10.85546875" style="356"/>
    <col min="5895" max="5895" width="7.140625" style="356" customWidth="1"/>
    <col min="5896" max="5902" width="9.7109375" style="356" customWidth="1"/>
    <col min="5903" max="5903" width="10.85546875" style="356"/>
    <col min="5904" max="5904" width="11.42578125" style="356" customWidth="1"/>
    <col min="5905" max="5905" width="15.7109375" style="356" customWidth="1"/>
    <col min="5906" max="5906" width="10.85546875" style="356"/>
    <col min="5907" max="5907" width="16.7109375" style="356" customWidth="1"/>
    <col min="5908" max="6127" width="10.85546875" style="356"/>
    <col min="6128" max="6128" width="34.7109375" style="356" customWidth="1"/>
    <col min="6129" max="6129" width="17.140625" style="356" customWidth="1"/>
    <col min="6130" max="6130" width="10.85546875" style="356"/>
    <col min="6131" max="6131" width="17.85546875" style="356" customWidth="1"/>
    <col min="6132" max="6132" width="17.42578125" style="356" customWidth="1"/>
    <col min="6133" max="6143" width="10.85546875" style="356"/>
    <col min="6144" max="6144" width="34.7109375" style="356" customWidth="1"/>
    <col min="6145" max="6146" width="12.7109375" style="356" customWidth="1"/>
    <col min="6147" max="6147" width="17.85546875" style="356" customWidth="1"/>
    <col min="6148" max="6148" width="17.42578125" style="356" customWidth="1"/>
    <col min="6149" max="6150" width="10.85546875" style="356"/>
    <col min="6151" max="6151" width="7.140625" style="356" customWidth="1"/>
    <col min="6152" max="6158" width="9.7109375" style="356" customWidth="1"/>
    <col min="6159" max="6159" width="10.85546875" style="356"/>
    <col min="6160" max="6160" width="11.42578125" style="356" customWidth="1"/>
    <col min="6161" max="6161" width="15.7109375" style="356" customWidth="1"/>
    <col min="6162" max="6162" width="10.85546875" style="356"/>
    <col min="6163" max="6163" width="16.7109375" style="356" customWidth="1"/>
    <col min="6164" max="6383" width="10.85546875" style="356"/>
    <col min="6384" max="6384" width="34.7109375" style="356" customWidth="1"/>
    <col min="6385" max="6385" width="17.140625" style="356" customWidth="1"/>
    <col min="6386" max="6386" width="10.85546875" style="356"/>
    <col min="6387" max="6387" width="17.85546875" style="356" customWidth="1"/>
    <col min="6388" max="6388" width="17.42578125" style="356" customWidth="1"/>
    <col min="6389" max="6399" width="10.85546875" style="356"/>
    <col min="6400" max="6400" width="34.7109375" style="356" customWidth="1"/>
    <col min="6401" max="6402" width="12.7109375" style="356" customWidth="1"/>
    <col min="6403" max="6403" width="17.85546875" style="356" customWidth="1"/>
    <col min="6404" max="6404" width="17.42578125" style="356" customWidth="1"/>
    <col min="6405" max="6406" width="10.85546875" style="356"/>
    <col min="6407" max="6407" width="7.140625" style="356" customWidth="1"/>
    <col min="6408" max="6414" width="9.7109375" style="356" customWidth="1"/>
    <col min="6415" max="6415" width="10.85546875" style="356"/>
    <col min="6416" max="6416" width="11.42578125" style="356" customWidth="1"/>
    <col min="6417" max="6417" width="15.7109375" style="356" customWidth="1"/>
    <col min="6418" max="6418" width="10.85546875" style="356"/>
    <col min="6419" max="6419" width="16.7109375" style="356" customWidth="1"/>
    <col min="6420" max="6639" width="10.85546875" style="356"/>
    <col min="6640" max="6640" width="34.7109375" style="356" customWidth="1"/>
    <col min="6641" max="6641" width="17.140625" style="356" customWidth="1"/>
    <col min="6642" max="6642" width="10.85546875" style="356"/>
    <col min="6643" max="6643" width="17.85546875" style="356" customWidth="1"/>
    <col min="6644" max="6644" width="17.42578125" style="356" customWidth="1"/>
    <col min="6645" max="6655" width="10.85546875" style="356"/>
    <col min="6656" max="6656" width="34.7109375" style="356" customWidth="1"/>
    <col min="6657" max="6658" width="12.7109375" style="356" customWidth="1"/>
    <col min="6659" max="6659" width="17.85546875" style="356" customWidth="1"/>
    <col min="6660" max="6660" width="17.42578125" style="356" customWidth="1"/>
    <col min="6661" max="6662" width="10.85546875" style="356"/>
    <col min="6663" max="6663" width="7.140625" style="356" customWidth="1"/>
    <col min="6664" max="6670" width="9.7109375" style="356" customWidth="1"/>
    <col min="6671" max="6671" width="10.85546875" style="356"/>
    <col min="6672" max="6672" width="11.42578125" style="356" customWidth="1"/>
    <col min="6673" max="6673" width="15.7109375" style="356" customWidth="1"/>
    <col min="6674" max="6674" width="10.85546875" style="356"/>
    <col min="6675" max="6675" width="16.7109375" style="356" customWidth="1"/>
    <col min="6676" max="6895" width="10.85546875" style="356"/>
    <col min="6896" max="6896" width="34.7109375" style="356" customWidth="1"/>
    <col min="6897" max="6897" width="17.140625" style="356" customWidth="1"/>
    <col min="6898" max="6898" width="10.85546875" style="356"/>
    <col min="6899" max="6899" width="17.85546875" style="356" customWidth="1"/>
    <col min="6900" max="6900" width="17.42578125" style="356" customWidth="1"/>
    <col min="6901" max="6911" width="10.85546875" style="356"/>
    <col min="6912" max="6912" width="34.7109375" style="356" customWidth="1"/>
    <col min="6913" max="6914" width="12.7109375" style="356" customWidth="1"/>
    <col min="6915" max="6915" width="17.85546875" style="356" customWidth="1"/>
    <col min="6916" max="6916" width="17.42578125" style="356" customWidth="1"/>
    <col min="6917" max="6918" width="10.85546875" style="356"/>
    <col min="6919" max="6919" width="7.140625" style="356" customWidth="1"/>
    <col min="6920" max="6926" width="9.7109375" style="356" customWidth="1"/>
    <col min="6927" max="6927" width="10.85546875" style="356"/>
    <col min="6928" max="6928" width="11.42578125" style="356" customWidth="1"/>
    <col min="6929" max="6929" width="15.7109375" style="356" customWidth="1"/>
    <col min="6930" max="6930" width="10.85546875" style="356"/>
    <col min="6931" max="6931" width="16.7109375" style="356" customWidth="1"/>
    <col min="6932" max="7151" width="10.85546875" style="356"/>
    <col min="7152" max="7152" width="34.7109375" style="356" customWidth="1"/>
    <col min="7153" max="7153" width="17.140625" style="356" customWidth="1"/>
    <col min="7154" max="7154" width="10.85546875" style="356"/>
    <col min="7155" max="7155" width="17.85546875" style="356" customWidth="1"/>
    <col min="7156" max="7156" width="17.42578125" style="356" customWidth="1"/>
    <col min="7157" max="7167" width="10.85546875" style="356"/>
    <col min="7168" max="7168" width="34.7109375" style="356" customWidth="1"/>
    <col min="7169" max="7170" width="12.7109375" style="356" customWidth="1"/>
    <col min="7171" max="7171" width="17.85546875" style="356" customWidth="1"/>
    <col min="7172" max="7172" width="17.42578125" style="356" customWidth="1"/>
    <col min="7173" max="7174" width="10.85546875" style="356"/>
    <col min="7175" max="7175" width="7.140625" style="356" customWidth="1"/>
    <col min="7176" max="7182" width="9.7109375" style="356" customWidth="1"/>
    <col min="7183" max="7183" width="10.85546875" style="356"/>
    <col min="7184" max="7184" width="11.42578125" style="356" customWidth="1"/>
    <col min="7185" max="7185" width="15.7109375" style="356" customWidth="1"/>
    <col min="7186" max="7186" width="10.85546875" style="356"/>
    <col min="7187" max="7187" width="16.7109375" style="356" customWidth="1"/>
    <col min="7188" max="7407" width="10.85546875" style="356"/>
    <col min="7408" max="7408" width="34.7109375" style="356" customWidth="1"/>
    <col min="7409" max="7409" width="17.140625" style="356" customWidth="1"/>
    <col min="7410" max="7410" width="10.85546875" style="356"/>
    <col min="7411" max="7411" width="17.85546875" style="356" customWidth="1"/>
    <col min="7412" max="7412" width="17.42578125" style="356" customWidth="1"/>
    <col min="7413" max="7423" width="10.85546875" style="356"/>
    <col min="7424" max="7424" width="34.7109375" style="356" customWidth="1"/>
    <col min="7425" max="7426" width="12.7109375" style="356" customWidth="1"/>
    <col min="7427" max="7427" width="17.85546875" style="356" customWidth="1"/>
    <col min="7428" max="7428" width="17.42578125" style="356" customWidth="1"/>
    <col min="7429" max="7430" width="10.85546875" style="356"/>
    <col min="7431" max="7431" width="7.140625" style="356" customWidth="1"/>
    <col min="7432" max="7438" width="9.7109375" style="356" customWidth="1"/>
    <col min="7439" max="7439" width="10.85546875" style="356"/>
    <col min="7440" max="7440" width="11.42578125" style="356" customWidth="1"/>
    <col min="7441" max="7441" width="15.7109375" style="356" customWidth="1"/>
    <col min="7442" max="7442" width="10.85546875" style="356"/>
    <col min="7443" max="7443" width="16.7109375" style="356" customWidth="1"/>
    <col min="7444" max="7663" width="10.85546875" style="356"/>
    <col min="7664" max="7664" width="34.7109375" style="356" customWidth="1"/>
    <col min="7665" max="7665" width="17.140625" style="356" customWidth="1"/>
    <col min="7666" max="7666" width="10.85546875" style="356"/>
    <col min="7667" max="7667" width="17.85546875" style="356" customWidth="1"/>
    <col min="7668" max="7668" width="17.42578125" style="356" customWidth="1"/>
    <col min="7669" max="7679" width="10.85546875" style="356"/>
    <col min="7680" max="7680" width="34.7109375" style="356" customWidth="1"/>
    <col min="7681" max="7682" width="12.7109375" style="356" customWidth="1"/>
    <col min="7683" max="7683" width="17.85546875" style="356" customWidth="1"/>
    <col min="7684" max="7684" width="17.42578125" style="356" customWidth="1"/>
    <col min="7685" max="7686" width="10.85546875" style="356"/>
    <col min="7687" max="7687" width="7.140625" style="356" customWidth="1"/>
    <col min="7688" max="7694" width="9.7109375" style="356" customWidth="1"/>
    <col min="7695" max="7695" width="10.85546875" style="356"/>
    <col min="7696" max="7696" width="11.42578125" style="356" customWidth="1"/>
    <col min="7697" max="7697" width="15.7109375" style="356" customWidth="1"/>
    <col min="7698" max="7698" width="10.85546875" style="356"/>
    <col min="7699" max="7699" width="16.7109375" style="356" customWidth="1"/>
    <col min="7700" max="7919" width="10.85546875" style="356"/>
    <col min="7920" max="7920" width="34.7109375" style="356" customWidth="1"/>
    <col min="7921" max="7921" width="17.140625" style="356" customWidth="1"/>
    <col min="7922" max="7922" width="10.85546875" style="356"/>
    <col min="7923" max="7923" width="17.85546875" style="356" customWidth="1"/>
    <col min="7924" max="7924" width="17.42578125" style="356" customWidth="1"/>
    <col min="7925" max="7935" width="10.85546875" style="356"/>
    <col min="7936" max="7936" width="34.7109375" style="356" customWidth="1"/>
    <col min="7937" max="7938" width="12.7109375" style="356" customWidth="1"/>
    <col min="7939" max="7939" width="17.85546875" style="356" customWidth="1"/>
    <col min="7940" max="7940" width="17.42578125" style="356" customWidth="1"/>
    <col min="7941" max="7942" width="10.85546875" style="356"/>
    <col min="7943" max="7943" width="7.140625" style="356" customWidth="1"/>
    <col min="7944" max="7950" width="9.7109375" style="356" customWidth="1"/>
    <col min="7951" max="7951" width="10.85546875" style="356"/>
    <col min="7952" max="7952" width="11.42578125" style="356" customWidth="1"/>
    <col min="7953" max="7953" width="15.7109375" style="356" customWidth="1"/>
    <col min="7954" max="7954" width="10.85546875" style="356"/>
    <col min="7955" max="7955" width="16.7109375" style="356" customWidth="1"/>
    <col min="7956" max="8175" width="10.85546875" style="356"/>
    <col min="8176" max="8176" width="34.7109375" style="356" customWidth="1"/>
    <col min="8177" max="8177" width="17.140625" style="356" customWidth="1"/>
    <col min="8178" max="8178" width="10.85546875" style="356"/>
    <col min="8179" max="8179" width="17.85546875" style="356" customWidth="1"/>
    <col min="8180" max="8180" width="17.42578125" style="356" customWidth="1"/>
    <col min="8181" max="8191" width="10.85546875" style="356"/>
    <col min="8192" max="8192" width="34.7109375" style="356" customWidth="1"/>
    <col min="8193" max="8194" width="12.7109375" style="356" customWidth="1"/>
    <col min="8195" max="8195" width="17.85546875" style="356" customWidth="1"/>
    <col min="8196" max="8196" width="17.42578125" style="356" customWidth="1"/>
    <col min="8197" max="8198" width="10.85546875" style="356"/>
    <col min="8199" max="8199" width="7.140625" style="356" customWidth="1"/>
    <col min="8200" max="8206" width="9.7109375" style="356" customWidth="1"/>
    <col min="8207" max="8207" width="10.85546875" style="356"/>
    <col min="8208" max="8208" width="11.42578125" style="356" customWidth="1"/>
    <col min="8209" max="8209" width="15.7109375" style="356" customWidth="1"/>
    <col min="8210" max="8210" width="10.85546875" style="356"/>
    <col min="8211" max="8211" width="16.7109375" style="356" customWidth="1"/>
    <col min="8212" max="8431" width="10.85546875" style="356"/>
    <col min="8432" max="8432" width="34.7109375" style="356" customWidth="1"/>
    <col min="8433" max="8433" width="17.140625" style="356" customWidth="1"/>
    <col min="8434" max="8434" width="10.85546875" style="356"/>
    <col min="8435" max="8435" width="17.85546875" style="356" customWidth="1"/>
    <col min="8436" max="8436" width="17.42578125" style="356" customWidth="1"/>
    <col min="8437" max="8447" width="10.85546875" style="356"/>
    <col min="8448" max="8448" width="34.7109375" style="356" customWidth="1"/>
    <col min="8449" max="8450" width="12.7109375" style="356" customWidth="1"/>
    <col min="8451" max="8451" width="17.85546875" style="356" customWidth="1"/>
    <col min="8452" max="8452" width="17.42578125" style="356" customWidth="1"/>
    <col min="8453" max="8454" width="10.85546875" style="356"/>
    <col min="8455" max="8455" width="7.140625" style="356" customWidth="1"/>
    <col min="8456" max="8462" width="9.7109375" style="356" customWidth="1"/>
    <col min="8463" max="8463" width="10.85546875" style="356"/>
    <col min="8464" max="8464" width="11.42578125" style="356" customWidth="1"/>
    <col min="8465" max="8465" width="15.7109375" style="356" customWidth="1"/>
    <col min="8466" max="8466" width="10.85546875" style="356"/>
    <col min="8467" max="8467" width="16.7109375" style="356" customWidth="1"/>
    <col min="8468" max="8687" width="10.85546875" style="356"/>
    <col min="8688" max="8688" width="34.7109375" style="356" customWidth="1"/>
    <col min="8689" max="8689" width="17.140625" style="356" customWidth="1"/>
    <col min="8690" max="8690" width="10.85546875" style="356"/>
    <col min="8691" max="8691" width="17.85546875" style="356" customWidth="1"/>
    <col min="8692" max="8692" width="17.42578125" style="356" customWidth="1"/>
    <col min="8693" max="8703" width="10.85546875" style="356"/>
    <col min="8704" max="8704" width="34.7109375" style="356" customWidth="1"/>
    <col min="8705" max="8706" width="12.7109375" style="356" customWidth="1"/>
    <col min="8707" max="8707" width="17.85546875" style="356" customWidth="1"/>
    <col min="8708" max="8708" width="17.42578125" style="356" customWidth="1"/>
    <col min="8709" max="8710" width="10.85546875" style="356"/>
    <col min="8711" max="8711" width="7.140625" style="356" customWidth="1"/>
    <col min="8712" max="8718" width="9.7109375" style="356" customWidth="1"/>
    <col min="8719" max="8719" width="10.85546875" style="356"/>
    <col min="8720" max="8720" width="11.42578125" style="356" customWidth="1"/>
    <col min="8721" max="8721" width="15.7109375" style="356" customWidth="1"/>
    <col min="8722" max="8722" width="10.85546875" style="356"/>
    <col min="8723" max="8723" width="16.7109375" style="356" customWidth="1"/>
    <col min="8724" max="8943" width="10.85546875" style="356"/>
    <col min="8944" max="8944" width="34.7109375" style="356" customWidth="1"/>
    <col min="8945" max="8945" width="17.140625" style="356" customWidth="1"/>
    <col min="8946" max="8946" width="10.85546875" style="356"/>
    <col min="8947" max="8947" width="17.85546875" style="356" customWidth="1"/>
    <col min="8948" max="8948" width="17.42578125" style="356" customWidth="1"/>
    <col min="8949" max="8959" width="10.85546875" style="356"/>
    <col min="8960" max="8960" width="34.7109375" style="356" customWidth="1"/>
    <col min="8961" max="8962" width="12.7109375" style="356" customWidth="1"/>
    <col min="8963" max="8963" width="17.85546875" style="356" customWidth="1"/>
    <col min="8964" max="8964" width="17.42578125" style="356" customWidth="1"/>
    <col min="8965" max="8966" width="10.85546875" style="356"/>
    <col min="8967" max="8967" width="7.140625" style="356" customWidth="1"/>
    <col min="8968" max="8974" width="9.7109375" style="356" customWidth="1"/>
    <col min="8975" max="8975" width="10.85546875" style="356"/>
    <col min="8976" max="8976" width="11.42578125" style="356" customWidth="1"/>
    <col min="8977" max="8977" width="15.7109375" style="356" customWidth="1"/>
    <col min="8978" max="8978" width="10.85546875" style="356"/>
    <col min="8979" max="8979" width="16.7109375" style="356" customWidth="1"/>
    <col min="8980" max="9199" width="10.85546875" style="356"/>
    <col min="9200" max="9200" width="34.7109375" style="356" customWidth="1"/>
    <col min="9201" max="9201" width="17.140625" style="356" customWidth="1"/>
    <col min="9202" max="9202" width="10.85546875" style="356"/>
    <col min="9203" max="9203" width="17.85546875" style="356" customWidth="1"/>
    <col min="9204" max="9204" width="17.42578125" style="356" customWidth="1"/>
    <col min="9205" max="9215" width="10.85546875" style="356"/>
    <col min="9216" max="9216" width="34.7109375" style="356" customWidth="1"/>
    <col min="9217" max="9218" width="12.7109375" style="356" customWidth="1"/>
    <col min="9219" max="9219" width="17.85546875" style="356" customWidth="1"/>
    <col min="9220" max="9220" width="17.42578125" style="356" customWidth="1"/>
    <col min="9221" max="9222" width="10.85546875" style="356"/>
    <col min="9223" max="9223" width="7.140625" style="356" customWidth="1"/>
    <col min="9224" max="9230" width="9.7109375" style="356" customWidth="1"/>
    <col min="9231" max="9231" width="10.85546875" style="356"/>
    <col min="9232" max="9232" width="11.42578125" style="356" customWidth="1"/>
    <col min="9233" max="9233" width="15.7109375" style="356" customWidth="1"/>
    <col min="9234" max="9234" width="10.85546875" style="356"/>
    <col min="9235" max="9235" width="16.7109375" style="356" customWidth="1"/>
    <col min="9236" max="9455" width="10.85546875" style="356"/>
    <col min="9456" max="9456" width="34.7109375" style="356" customWidth="1"/>
    <col min="9457" max="9457" width="17.140625" style="356" customWidth="1"/>
    <col min="9458" max="9458" width="10.85546875" style="356"/>
    <col min="9459" max="9459" width="17.85546875" style="356" customWidth="1"/>
    <col min="9460" max="9460" width="17.42578125" style="356" customWidth="1"/>
    <col min="9461" max="9471" width="10.85546875" style="356"/>
    <col min="9472" max="9472" width="34.7109375" style="356" customWidth="1"/>
    <col min="9473" max="9474" width="12.7109375" style="356" customWidth="1"/>
    <col min="9475" max="9475" width="17.85546875" style="356" customWidth="1"/>
    <col min="9476" max="9476" width="17.42578125" style="356" customWidth="1"/>
    <col min="9477" max="9478" width="10.85546875" style="356"/>
    <col min="9479" max="9479" width="7.140625" style="356" customWidth="1"/>
    <col min="9480" max="9486" width="9.7109375" style="356" customWidth="1"/>
    <col min="9487" max="9487" width="10.85546875" style="356"/>
    <col min="9488" max="9488" width="11.42578125" style="356" customWidth="1"/>
    <col min="9489" max="9489" width="15.7109375" style="356" customWidth="1"/>
    <col min="9490" max="9490" width="10.85546875" style="356"/>
    <col min="9491" max="9491" width="16.7109375" style="356" customWidth="1"/>
    <col min="9492" max="9711" width="10.85546875" style="356"/>
    <col min="9712" max="9712" width="34.7109375" style="356" customWidth="1"/>
    <col min="9713" max="9713" width="17.140625" style="356" customWidth="1"/>
    <col min="9714" max="9714" width="10.85546875" style="356"/>
    <col min="9715" max="9715" width="17.85546875" style="356" customWidth="1"/>
    <col min="9716" max="9716" width="17.42578125" style="356" customWidth="1"/>
    <col min="9717" max="9727" width="10.85546875" style="356"/>
    <col min="9728" max="9728" width="34.7109375" style="356" customWidth="1"/>
    <col min="9729" max="9730" width="12.7109375" style="356" customWidth="1"/>
    <col min="9731" max="9731" width="17.85546875" style="356" customWidth="1"/>
    <col min="9732" max="9732" width="17.42578125" style="356" customWidth="1"/>
    <col min="9733" max="9734" width="10.85546875" style="356"/>
    <col min="9735" max="9735" width="7.140625" style="356" customWidth="1"/>
    <col min="9736" max="9742" width="9.7109375" style="356" customWidth="1"/>
    <col min="9743" max="9743" width="10.85546875" style="356"/>
    <col min="9744" max="9744" width="11.42578125" style="356" customWidth="1"/>
    <col min="9745" max="9745" width="15.7109375" style="356" customWidth="1"/>
    <col min="9746" max="9746" width="10.85546875" style="356"/>
    <col min="9747" max="9747" width="16.7109375" style="356" customWidth="1"/>
    <col min="9748" max="9967" width="10.85546875" style="356"/>
    <col min="9968" max="9968" width="34.7109375" style="356" customWidth="1"/>
    <col min="9969" max="9969" width="17.140625" style="356" customWidth="1"/>
    <col min="9970" max="9970" width="10.85546875" style="356"/>
    <col min="9971" max="9971" width="17.85546875" style="356" customWidth="1"/>
    <col min="9972" max="9972" width="17.42578125" style="356" customWidth="1"/>
    <col min="9973" max="9983" width="10.85546875" style="356"/>
    <col min="9984" max="9984" width="34.7109375" style="356" customWidth="1"/>
    <col min="9985" max="9986" width="12.7109375" style="356" customWidth="1"/>
    <col min="9987" max="9987" width="17.85546875" style="356" customWidth="1"/>
    <col min="9988" max="9988" width="17.42578125" style="356" customWidth="1"/>
    <col min="9989" max="9990" width="10.85546875" style="356"/>
    <col min="9991" max="9991" width="7.140625" style="356" customWidth="1"/>
    <col min="9992" max="9998" width="9.7109375" style="356" customWidth="1"/>
    <col min="9999" max="9999" width="10.85546875" style="356"/>
    <col min="10000" max="10000" width="11.42578125" style="356" customWidth="1"/>
    <col min="10001" max="10001" width="15.7109375" style="356" customWidth="1"/>
    <col min="10002" max="10002" width="10.85546875" style="356"/>
    <col min="10003" max="10003" width="16.7109375" style="356" customWidth="1"/>
    <col min="10004" max="10223" width="10.85546875" style="356"/>
    <col min="10224" max="10224" width="34.7109375" style="356" customWidth="1"/>
    <col min="10225" max="10225" width="17.140625" style="356" customWidth="1"/>
    <col min="10226" max="10226" width="10.85546875" style="356"/>
    <col min="10227" max="10227" width="17.85546875" style="356" customWidth="1"/>
    <col min="10228" max="10228" width="17.42578125" style="356" customWidth="1"/>
    <col min="10229" max="10239" width="10.85546875" style="356"/>
    <col min="10240" max="10240" width="34.7109375" style="356" customWidth="1"/>
    <col min="10241" max="10242" width="12.7109375" style="356" customWidth="1"/>
    <col min="10243" max="10243" width="17.85546875" style="356" customWidth="1"/>
    <col min="10244" max="10244" width="17.42578125" style="356" customWidth="1"/>
    <col min="10245" max="10246" width="10.85546875" style="356"/>
    <col min="10247" max="10247" width="7.140625" style="356" customWidth="1"/>
    <col min="10248" max="10254" width="9.7109375" style="356" customWidth="1"/>
    <col min="10255" max="10255" width="10.85546875" style="356"/>
    <col min="10256" max="10256" width="11.42578125" style="356" customWidth="1"/>
    <col min="10257" max="10257" width="15.7109375" style="356" customWidth="1"/>
    <col min="10258" max="10258" width="10.85546875" style="356"/>
    <col min="10259" max="10259" width="16.7109375" style="356" customWidth="1"/>
    <col min="10260" max="10479" width="10.85546875" style="356"/>
    <col min="10480" max="10480" width="34.7109375" style="356" customWidth="1"/>
    <col min="10481" max="10481" width="17.140625" style="356" customWidth="1"/>
    <col min="10482" max="10482" width="10.85546875" style="356"/>
    <col min="10483" max="10483" width="17.85546875" style="356" customWidth="1"/>
    <col min="10484" max="10484" width="17.42578125" style="356" customWidth="1"/>
    <col min="10485" max="10495" width="10.85546875" style="356"/>
    <col min="10496" max="10496" width="34.7109375" style="356" customWidth="1"/>
    <col min="10497" max="10498" width="12.7109375" style="356" customWidth="1"/>
    <col min="10499" max="10499" width="17.85546875" style="356" customWidth="1"/>
    <col min="10500" max="10500" width="17.42578125" style="356" customWidth="1"/>
    <col min="10501" max="10502" width="10.85546875" style="356"/>
    <col min="10503" max="10503" width="7.140625" style="356" customWidth="1"/>
    <col min="10504" max="10510" width="9.7109375" style="356" customWidth="1"/>
    <col min="10511" max="10511" width="10.85546875" style="356"/>
    <col min="10512" max="10512" width="11.42578125" style="356" customWidth="1"/>
    <col min="10513" max="10513" width="15.7109375" style="356" customWidth="1"/>
    <col min="10514" max="10514" width="10.85546875" style="356"/>
    <col min="10515" max="10515" width="16.7109375" style="356" customWidth="1"/>
    <col min="10516" max="10735" width="10.85546875" style="356"/>
    <col min="10736" max="10736" width="34.7109375" style="356" customWidth="1"/>
    <col min="10737" max="10737" width="17.140625" style="356" customWidth="1"/>
    <col min="10738" max="10738" width="10.85546875" style="356"/>
    <col min="10739" max="10739" width="17.85546875" style="356" customWidth="1"/>
    <col min="10740" max="10740" width="17.42578125" style="356" customWidth="1"/>
    <col min="10741" max="10751" width="10.85546875" style="356"/>
    <col min="10752" max="10752" width="34.7109375" style="356" customWidth="1"/>
    <col min="10753" max="10754" width="12.7109375" style="356" customWidth="1"/>
    <col min="10755" max="10755" width="17.85546875" style="356" customWidth="1"/>
    <col min="10756" max="10756" width="17.42578125" style="356" customWidth="1"/>
    <col min="10757" max="10758" width="10.85546875" style="356"/>
    <col min="10759" max="10759" width="7.140625" style="356" customWidth="1"/>
    <col min="10760" max="10766" width="9.7109375" style="356" customWidth="1"/>
    <col min="10767" max="10767" width="10.85546875" style="356"/>
    <col min="10768" max="10768" width="11.42578125" style="356" customWidth="1"/>
    <col min="10769" max="10769" width="15.7109375" style="356" customWidth="1"/>
    <col min="10770" max="10770" width="10.85546875" style="356"/>
    <col min="10771" max="10771" width="16.7109375" style="356" customWidth="1"/>
    <col min="10772" max="10991" width="10.85546875" style="356"/>
    <col min="10992" max="10992" width="34.7109375" style="356" customWidth="1"/>
    <col min="10993" max="10993" width="17.140625" style="356" customWidth="1"/>
    <col min="10994" max="10994" width="10.85546875" style="356"/>
    <col min="10995" max="10995" width="17.85546875" style="356" customWidth="1"/>
    <col min="10996" max="10996" width="17.42578125" style="356" customWidth="1"/>
    <col min="10997" max="11007" width="10.85546875" style="356"/>
    <col min="11008" max="11008" width="34.7109375" style="356" customWidth="1"/>
    <col min="11009" max="11010" width="12.7109375" style="356" customWidth="1"/>
    <col min="11011" max="11011" width="17.85546875" style="356" customWidth="1"/>
    <col min="11012" max="11012" width="17.42578125" style="356" customWidth="1"/>
    <col min="11013" max="11014" width="10.85546875" style="356"/>
    <col min="11015" max="11015" width="7.140625" style="356" customWidth="1"/>
    <col min="11016" max="11022" width="9.7109375" style="356" customWidth="1"/>
    <col min="11023" max="11023" width="10.85546875" style="356"/>
    <col min="11024" max="11024" width="11.42578125" style="356" customWidth="1"/>
    <col min="11025" max="11025" width="15.7109375" style="356" customWidth="1"/>
    <col min="11026" max="11026" width="10.85546875" style="356"/>
    <col min="11027" max="11027" width="16.7109375" style="356" customWidth="1"/>
    <col min="11028" max="11247" width="10.85546875" style="356"/>
    <col min="11248" max="11248" width="34.7109375" style="356" customWidth="1"/>
    <col min="11249" max="11249" width="17.140625" style="356" customWidth="1"/>
    <col min="11250" max="11250" width="10.85546875" style="356"/>
    <col min="11251" max="11251" width="17.85546875" style="356" customWidth="1"/>
    <col min="11252" max="11252" width="17.42578125" style="356" customWidth="1"/>
    <col min="11253" max="11263" width="10.85546875" style="356"/>
    <col min="11264" max="11264" width="34.7109375" style="356" customWidth="1"/>
    <col min="11265" max="11266" width="12.7109375" style="356" customWidth="1"/>
    <col min="11267" max="11267" width="17.85546875" style="356" customWidth="1"/>
    <col min="11268" max="11268" width="17.42578125" style="356" customWidth="1"/>
    <col min="11269" max="11270" width="10.85546875" style="356"/>
    <col min="11271" max="11271" width="7.140625" style="356" customWidth="1"/>
    <col min="11272" max="11278" width="9.7109375" style="356" customWidth="1"/>
    <col min="11279" max="11279" width="10.85546875" style="356"/>
    <col min="11280" max="11280" width="11.42578125" style="356" customWidth="1"/>
    <col min="11281" max="11281" width="15.7109375" style="356" customWidth="1"/>
    <col min="11282" max="11282" width="10.85546875" style="356"/>
    <col min="11283" max="11283" width="16.7109375" style="356" customWidth="1"/>
    <col min="11284" max="11503" width="10.85546875" style="356"/>
    <col min="11504" max="11504" width="34.7109375" style="356" customWidth="1"/>
    <col min="11505" max="11505" width="17.140625" style="356" customWidth="1"/>
    <col min="11506" max="11506" width="10.85546875" style="356"/>
    <col min="11507" max="11507" width="17.85546875" style="356" customWidth="1"/>
    <col min="11508" max="11508" width="17.42578125" style="356" customWidth="1"/>
    <col min="11509" max="11519" width="10.85546875" style="356"/>
    <col min="11520" max="11520" width="34.7109375" style="356" customWidth="1"/>
    <col min="11521" max="11522" width="12.7109375" style="356" customWidth="1"/>
    <col min="11523" max="11523" width="17.85546875" style="356" customWidth="1"/>
    <col min="11524" max="11524" width="17.42578125" style="356" customWidth="1"/>
    <col min="11525" max="11526" width="10.85546875" style="356"/>
    <col min="11527" max="11527" width="7.140625" style="356" customWidth="1"/>
    <col min="11528" max="11534" width="9.7109375" style="356" customWidth="1"/>
    <col min="11535" max="11535" width="10.85546875" style="356"/>
    <col min="11536" max="11536" width="11.42578125" style="356" customWidth="1"/>
    <col min="11537" max="11537" width="15.7109375" style="356" customWidth="1"/>
    <col min="11538" max="11538" width="10.85546875" style="356"/>
    <col min="11539" max="11539" width="16.7109375" style="356" customWidth="1"/>
    <col min="11540" max="11759" width="10.85546875" style="356"/>
    <col min="11760" max="11760" width="34.7109375" style="356" customWidth="1"/>
    <col min="11761" max="11761" width="17.140625" style="356" customWidth="1"/>
    <col min="11762" max="11762" width="10.85546875" style="356"/>
    <col min="11763" max="11763" width="17.85546875" style="356" customWidth="1"/>
    <col min="11764" max="11764" width="17.42578125" style="356" customWidth="1"/>
    <col min="11765" max="11775" width="10.85546875" style="356"/>
    <col min="11776" max="11776" width="34.7109375" style="356" customWidth="1"/>
    <col min="11777" max="11778" width="12.7109375" style="356" customWidth="1"/>
    <col min="11779" max="11779" width="17.85546875" style="356" customWidth="1"/>
    <col min="11780" max="11780" width="17.42578125" style="356" customWidth="1"/>
    <col min="11781" max="11782" width="10.85546875" style="356"/>
    <col min="11783" max="11783" width="7.140625" style="356" customWidth="1"/>
    <col min="11784" max="11790" width="9.7109375" style="356" customWidth="1"/>
    <col min="11791" max="11791" width="10.85546875" style="356"/>
    <col min="11792" max="11792" width="11.42578125" style="356" customWidth="1"/>
    <col min="11793" max="11793" width="15.7109375" style="356" customWidth="1"/>
    <col min="11794" max="11794" width="10.85546875" style="356"/>
    <col min="11795" max="11795" width="16.7109375" style="356" customWidth="1"/>
    <col min="11796" max="12015" width="10.85546875" style="356"/>
    <col min="12016" max="12016" width="34.7109375" style="356" customWidth="1"/>
    <col min="12017" max="12017" width="17.140625" style="356" customWidth="1"/>
    <col min="12018" max="12018" width="10.85546875" style="356"/>
    <col min="12019" max="12019" width="17.85546875" style="356" customWidth="1"/>
    <col min="12020" max="12020" width="17.42578125" style="356" customWidth="1"/>
    <col min="12021" max="12031" width="10.85546875" style="356"/>
    <col min="12032" max="12032" width="34.7109375" style="356" customWidth="1"/>
    <col min="12033" max="12034" width="12.7109375" style="356" customWidth="1"/>
    <col min="12035" max="12035" width="17.85546875" style="356" customWidth="1"/>
    <col min="12036" max="12036" width="17.42578125" style="356" customWidth="1"/>
    <col min="12037" max="12038" width="10.85546875" style="356"/>
    <col min="12039" max="12039" width="7.140625" style="356" customWidth="1"/>
    <col min="12040" max="12046" width="9.7109375" style="356" customWidth="1"/>
    <col min="12047" max="12047" width="10.85546875" style="356"/>
    <col min="12048" max="12048" width="11.42578125" style="356" customWidth="1"/>
    <col min="12049" max="12049" width="15.7109375" style="356" customWidth="1"/>
    <col min="12050" max="12050" width="10.85546875" style="356"/>
    <col min="12051" max="12051" width="16.7109375" style="356" customWidth="1"/>
    <col min="12052" max="12271" width="10.85546875" style="356"/>
    <col min="12272" max="12272" width="34.7109375" style="356" customWidth="1"/>
    <col min="12273" max="12273" width="17.140625" style="356" customWidth="1"/>
    <col min="12274" max="12274" width="10.85546875" style="356"/>
    <col min="12275" max="12275" width="17.85546875" style="356" customWidth="1"/>
    <col min="12276" max="12276" width="17.42578125" style="356" customWidth="1"/>
    <col min="12277" max="12287" width="10.85546875" style="356"/>
    <col min="12288" max="12288" width="34.7109375" style="356" customWidth="1"/>
    <col min="12289" max="12290" width="12.7109375" style="356" customWidth="1"/>
    <col min="12291" max="12291" width="17.85546875" style="356" customWidth="1"/>
    <col min="12292" max="12292" width="17.42578125" style="356" customWidth="1"/>
    <col min="12293" max="12294" width="10.85546875" style="356"/>
    <col min="12295" max="12295" width="7.140625" style="356" customWidth="1"/>
    <col min="12296" max="12302" width="9.7109375" style="356" customWidth="1"/>
    <col min="12303" max="12303" width="10.85546875" style="356"/>
    <col min="12304" max="12304" width="11.42578125" style="356" customWidth="1"/>
    <col min="12305" max="12305" width="15.7109375" style="356" customWidth="1"/>
    <col min="12306" max="12306" width="10.85546875" style="356"/>
    <col min="12307" max="12307" width="16.7109375" style="356" customWidth="1"/>
    <col min="12308" max="12527" width="10.85546875" style="356"/>
    <col min="12528" max="12528" width="34.7109375" style="356" customWidth="1"/>
    <col min="12529" max="12529" width="17.140625" style="356" customWidth="1"/>
    <col min="12530" max="12530" width="10.85546875" style="356"/>
    <col min="12531" max="12531" width="17.85546875" style="356" customWidth="1"/>
    <col min="12532" max="12532" width="17.42578125" style="356" customWidth="1"/>
    <col min="12533" max="12543" width="10.85546875" style="356"/>
    <col min="12544" max="12544" width="34.7109375" style="356" customWidth="1"/>
    <col min="12545" max="12546" width="12.7109375" style="356" customWidth="1"/>
    <col min="12547" max="12547" width="17.85546875" style="356" customWidth="1"/>
    <col min="12548" max="12548" width="17.42578125" style="356" customWidth="1"/>
    <col min="12549" max="12550" width="10.85546875" style="356"/>
    <col min="12551" max="12551" width="7.140625" style="356" customWidth="1"/>
    <col min="12552" max="12558" width="9.7109375" style="356" customWidth="1"/>
    <col min="12559" max="12559" width="10.85546875" style="356"/>
    <col min="12560" max="12560" width="11.42578125" style="356" customWidth="1"/>
    <col min="12561" max="12561" width="15.7109375" style="356" customWidth="1"/>
    <col min="12562" max="12562" width="10.85546875" style="356"/>
    <col min="12563" max="12563" width="16.7109375" style="356" customWidth="1"/>
    <col min="12564" max="12783" width="10.85546875" style="356"/>
    <col min="12784" max="12784" width="34.7109375" style="356" customWidth="1"/>
    <col min="12785" max="12785" width="17.140625" style="356" customWidth="1"/>
    <col min="12786" max="12786" width="10.85546875" style="356"/>
    <col min="12787" max="12787" width="17.85546875" style="356" customWidth="1"/>
    <col min="12788" max="12788" width="17.42578125" style="356" customWidth="1"/>
    <col min="12789" max="12799" width="10.85546875" style="356"/>
    <col min="12800" max="12800" width="34.7109375" style="356" customWidth="1"/>
    <col min="12801" max="12802" width="12.7109375" style="356" customWidth="1"/>
    <col min="12803" max="12803" width="17.85546875" style="356" customWidth="1"/>
    <col min="12804" max="12804" width="17.42578125" style="356" customWidth="1"/>
    <col min="12805" max="12806" width="10.85546875" style="356"/>
    <col min="12807" max="12807" width="7.140625" style="356" customWidth="1"/>
    <col min="12808" max="12814" width="9.7109375" style="356" customWidth="1"/>
    <col min="12815" max="12815" width="10.85546875" style="356"/>
    <col min="12816" max="12816" width="11.42578125" style="356" customWidth="1"/>
    <col min="12817" max="12817" width="15.7109375" style="356" customWidth="1"/>
    <col min="12818" max="12818" width="10.85546875" style="356"/>
    <col min="12819" max="12819" width="16.7109375" style="356" customWidth="1"/>
    <col min="12820" max="13039" width="10.85546875" style="356"/>
    <col min="13040" max="13040" width="34.7109375" style="356" customWidth="1"/>
    <col min="13041" max="13041" width="17.140625" style="356" customWidth="1"/>
    <col min="13042" max="13042" width="10.85546875" style="356"/>
    <col min="13043" max="13043" width="17.85546875" style="356" customWidth="1"/>
    <col min="13044" max="13044" width="17.42578125" style="356" customWidth="1"/>
    <col min="13045" max="13055" width="10.85546875" style="356"/>
    <col min="13056" max="13056" width="34.7109375" style="356" customWidth="1"/>
    <col min="13057" max="13058" width="12.7109375" style="356" customWidth="1"/>
    <col min="13059" max="13059" width="17.85546875" style="356" customWidth="1"/>
    <col min="13060" max="13060" width="17.42578125" style="356" customWidth="1"/>
    <col min="13061" max="13062" width="10.85546875" style="356"/>
    <col min="13063" max="13063" width="7.140625" style="356" customWidth="1"/>
    <col min="13064" max="13070" width="9.7109375" style="356" customWidth="1"/>
    <col min="13071" max="13071" width="10.85546875" style="356"/>
    <col min="13072" max="13072" width="11.42578125" style="356" customWidth="1"/>
    <col min="13073" max="13073" width="15.7109375" style="356" customWidth="1"/>
    <col min="13074" max="13074" width="10.85546875" style="356"/>
    <col min="13075" max="13075" width="16.7109375" style="356" customWidth="1"/>
    <col min="13076" max="13295" width="10.85546875" style="356"/>
    <col min="13296" max="13296" width="34.7109375" style="356" customWidth="1"/>
    <col min="13297" max="13297" width="17.140625" style="356" customWidth="1"/>
    <col min="13298" max="13298" width="10.85546875" style="356"/>
    <col min="13299" max="13299" width="17.85546875" style="356" customWidth="1"/>
    <col min="13300" max="13300" width="17.42578125" style="356" customWidth="1"/>
    <col min="13301" max="13311" width="10.85546875" style="356"/>
    <col min="13312" max="13312" width="34.7109375" style="356" customWidth="1"/>
    <col min="13313" max="13314" width="12.7109375" style="356" customWidth="1"/>
    <col min="13315" max="13315" width="17.85546875" style="356" customWidth="1"/>
    <col min="13316" max="13316" width="17.42578125" style="356" customWidth="1"/>
    <col min="13317" max="13318" width="10.85546875" style="356"/>
    <col min="13319" max="13319" width="7.140625" style="356" customWidth="1"/>
    <col min="13320" max="13326" width="9.7109375" style="356" customWidth="1"/>
    <col min="13327" max="13327" width="10.85546875" style="356"/>
    <col min="13328" max="13328" width="11.42578125" style="356" customWidth="1"/>
    <col min="13329" max="13329" width="15.7109375" style="356" customWidth="1"/>
    <col min="13330" max="13330" width="10.85546875" style="356"/>
    <col min="13331" max="13331" width="16.7109375" style="356" customWidth="1"/>
    <col min="13332" max="13551" width="10.85546875" style="356"/>
    <col min="13552" max="13552" width="34.7109375" style="356" customWidth="1"/>
    <col min="13553" max="13553" width="17.140625" style="356" customWidth="1"/>
    <col min="13554" max="13554" width="10.85546875" style="356"/>
    <col min="13555" max="13555" width="17.85546875" style="356" customWidth="1"/>
    <col min="13556" max="13556" width="17.42578125" style="356" customWidth="1"/>
    <col min="13557" max="13567" width="10.85546875" style="356"/>
    <col min="13568" max="13568" width="34.7109375" style="356" customWidth="1"/>
    <col min="13569" max="13570" width="12.7109375" style="356" customWidth="1"/>
    <col min="13571" max="13571" width="17.85546875" style="356" customWidth="1"/>
    <col min="13572" max="13572" width="17.42578125" style="356" customWidth="1"/>
    <col min="13573" max="13574" width="10.85546875" style="356"/>
    <col min="13575" max="13575" width="7.140625" style="356" customWidth="1"/>
    <col min="13576" max="13582" width="9.7109375" style="356" customWidth="1"/>
    <col min="13583" max="13583" width="10.85546875" style="356"/>
    <col min="13584" max="13584" width="11.42578125" style="356" customWidth="1"/>
    <col min="13585" max="13585" width="15.7109375" style="356" customWidth="1"/>
    <col min="13586" max="13586" width="10.85546875" style="356"/>
    <col min="13587" max="13587" width="16.7109375" style="356" customWidth="1"/>
    <col min="13588" max="13807" width="10.85546875" style="356"/>
    <col min="13808" max="13808" width="34.7109375" style="356" customWidth="1"/>
    <col min="13809" max="13809" width="17.140625" style="356" customWidth="1"/>
    <col min="13810" max="13810" width="10.85546875" style="356"/>
    <col min="13811" max="13811" width="17.85546875" style="356" customWidth="1"/>
    <col min="13812" max="13812" width="17.42578125" style="356" customWidth="1"/>
    <col min="13813" max="13823" width="10.85546875" style="356"/>
    <col min="13824" max="13824" width="34.7109375" style="356" customWidth="1"/>
    <col min="13825" max="13826" width="12.7109375" style="356" customWidth="1"/>
    <col min="13827" max="13827" width="17.85546875" style="356" customWidth="1"/>
    <col min="13828" max="13828" width="17.42578125" style="356" customWidth="1"/>
    <col min="13829" max="13830" width="10.85546875" style="356"/>
    <col min="13831" max="13831" width="7.140625" style="356" customWidth="1"/>
    <col min="13832" max="13838" width="9.7109375" style="356" customWidth="1"/>
    <col min="13839" max="13839" width="10.85546875" style="356"/>
    <col min="13840" max="13840" width="11.42578125" style="356" customWidth="1"/>
    <col min="13841" max="13841" width="15.7109375" style="356" customWidth="1"/>
    <col min="13842" max="13842" width="10.85546875" style="356"/>
    <col min="13843" max="13843" width="16.7109375" style="356" customWidth="1"/>
    <col min="13844" max="14063" width="10.85546875" style="356"/>
    <col min="14064" max="14064" width="34.7109375" style="356" customWidth="1"/>
    <col min="14065" max="14065" width="17.140625" style="356" customWidth="1"/>
    <col min="14066" max="14066" width="10.85546875" style="356"/>
    <col min="14067" max="14067" width="17.85546875" style="356" customWidth="1"/>
    <col min="14068" max="14068" width="17.42578125" style="356" customWidth="1"/>
    <col min="14069" max="14079" width="10.85546875" style="356"/>
    <col min="14080" max="14080" width="34.7109375" style="356" customWidth="1"/>
    <col min="14081" max="14082" width="12.7109375" style="356" customWidth="1"/>
    <col min="14083" max="14083" width="17.85546875" style="356" customWidth="1"/>
    <col min="14084" max="14084" width="17.42578125" style="356" customWidth="1"/>
    <col min="14085" max="14086" width="10.85546875" style="356"/>
    <col min="14087" max="14087" width="7.140625" style="356" customWidth="1"/>
    <col min="14088" max="14094" width="9.7109375" style="356" customWidth="1"/>
    <col min="14095" max="14095" width="10.85546875" style="356"/>
    <col min="14096" max="14096" width="11.42578125" style="356" customWidth="1"/>
    <col min="14097" max="14097" width="15.7109375" style="356" customWidth="1"/>
    <col min="14098" max="14098" width="10.85546875" style="356"/>
    <col min="14099" max="14099" width="16.7109375" style="356" customWidth="1"/>
    <col min="14100" max="14319" width="10.85546875" style="356"/>
    <col min="14320" max="14320" width="34.7109375" style="356" customWidth="1"/>
    <col min="14321" max="14321" width="17.140625" style="356" customWidth="1"/>
    <col min="14322" max="14322" width="10.85546875" style="356"/>
    <col min="14323" max="14323" width="17.85546875" style="356" customWidth="1"/>
    <col min="14324" max="14324" width="17.42578125" style="356" customWidth="1"/>
    <col min="14325" max="14335" width="10.85546875" style="356"/>
    <col min="14336" max="14336" width="34.7109375" style="356" customWidth="1"/>
    <col min="14337" max="14338" width="12.7109375" style="356" customWidth="1"/>
    <col min="14339" max="14339" width="17.85546875" style="356" customWidth="1"/>
    <col min="14340" max="14340" width="17.42578125" style="356" customWidth="1"/>
    <col min="14341" max="14342" width="10.85546875" style="356"/>
    <col min="14343" max="14343" width="7.140625" style="356" customWidth="1"/>
    <col min="14344" max="14350" width="9.7109375" style="356" customWidth="1"/>
    <col min="14351" max="14351" width="10.85546875" style="356"/>
    <col min="14352" max="14352" width="11.42578125" style="356" customWidth="1"/>
    <col min="14353" max="14353" width="15.7109375" style="356" customWidth="1"/>
    <col min="14354" max="14354" width="10.85546875" style="356"/>
    <col min="14355" max="14355" width="16.7109375" style="356" customWidth="1"/>
    <col min="14356" max="14575" width="10.85546875" style="356"/>
    <col min="14576" max="14576" width="34.7109375" style="356" customWidth="1"/>
    <col min="14577" max="14577" width="17.140625" style="356" customWidth="1"/>
    <col min="14578" max="14578" width="10.85546875" style="356"/>
    <col min="14579" max="14579" width="17.85546875" style="356" customWidth="1"/>
    <col min="14580" max="14580" width="17.42578125" style="356" customWidth="1"/>
    <col min="14581" max="14591" width="10.85546875" style="356"/>
    <col min="14592" max="14592" width="34.7109375" style="356" customWidth="1"/>
    <col min="14593" max="14594" width="12.7109375" style="356" customWidth="1"/>
    <col min="14595" max="14595" width="17.85546875" style="356" customWidth="1"/>
    <col min="14596" max="14596" width="17.42578125" style="356" customWidth="1"/>
    <col min="14597" max="14598" width="10.85546875" style="356"/>
    <col min="14599" max="14599" width="7.140625" style="356" customWidth="1"/>
    <col min="14600" max="14606" width="9.7109375" style="356" customWidth="1"/>
    <col min="14607" max="14607" width="10.85546875" style="356"/>
    <col min="14608" max="14608" width="11.42578125" style="356" customWidth="1"/>
    <col min="14609" max="14609" width="15.7109375" style="356" customWidth="1"/>
    <col min="14610" max="14610" width="10.85546875" style="356"/>
    <col min="14611" max="14611" width="16.7109375" style="356" customWidth="1"/>
    <col min="14612" max="14831" width="10.85546875" style="356"/>
    <col min="14832" max="14832" width="34.7109375" style="356" customWidth="1"/>
    <col min="14833" max="14833" width="17.140625" style="356" customWidth="1"/>
    <col min="14834" max="14834" width="10.85546875" style="356"/>
    <col min="14835" max="14835" width="17.85546875" style="356" customWidth="1"/>
    <col min="14836" max="14836" width="17.42578125" style="356" customWidth="1"/>
    <col min="14837" max="14847" width="10.85546875" style="356"/>
    <col min="14848" max="14848" width="34.7109375" style="356" customWidth="1"/>
    <col min="14849" max="14850" width="12.7109375" style="356" customWidth="1"/>
    <col min="14851" max="14851" width="17.85546875" style="356" customWidth="1"/>
    <col min="14852" max="14852" width="17.42578125" style="356" customWidth="1"/>
    <col min="14853" max="14854" width="10.85546875" style="356"/>
    <col min="14855" max="14855" width="7.140625" style="356" customWidth="1"/>
    <col min="14856" max="14862" width="9.7109375" style="356" customWidth="1"/>
    <col min="14863" max="14863" width="10.85546875" style="356"/>
    <col min="14864" max="14864" width="11.42578125" style="356" customWidth="1"/>
    <col min="14865" max="14865" width="15.7109375" style="356" customWidth="1"/>
    <col min="14866" max="14866" width="10.85546875" style="356"/>
    <col min="14867" max="14867" width="16.7109375" style="356" customWidth="1"/>
    <col min="14868" max="15087" width="10.85546875" style="356"/>
    <col min="15088" max="15088" width="34.7109375" style="356" customWidth="1"/>
    <col min="15089" max="15089" width="17.140625" style="356" customWidth="1"/>
    <col min="15090" max="15090" width="10.85546875" style="356"/>
    <col min="15091" max="15091" width="17.85546875" style="356" customWidth="1"/>
    <col min="15092" max="15092" width="17.42578125" style="356" customWidth="1"/>
    <col min="15093" max="15103" width="10.85546875" style="356"/>
    <col min="15104" max="15104" width="34.7109375" style="356" customWidth="1"/>
    <col min="15105" max="15106" width="12.7109375" style="356" customWidth="1"/>
    <col min="15107" max="15107" width="17.85546875" style="356" customWidth="1"/>
    <col min="15108" max="15108" width="17.42578125" style="356" customWidth="1"/>
    <col min="15109" max="15110" width="10.85546875" style="356"/>
    <col min="15111" max="15111" width="7.140625" style="356" customWidth="1"/>
    <col min="15112" max="15118" width="9.7109375" style="356" customWidth="1"/>
    <col min="15119" max="15119" width="10.85546875" style="356"/>
    <col min="15120" max="15120" width="11.42578125" style="356" customWidth="1"/>
    <col min="15121" max="15121" width="15.7109375" style="356" customWidth="1"/>
    <col min="15122" max="15122" width="10.85546875" style="356"/>
    <col min="15123" max="15123" width="16.7109375" style="356" customWidth="1"/>
    <col min="15124" max="15343" width="10.85546875" style="356"/>
    <col min="15344" max="15344" width="34.7109375" style="356" customWidth="1"/>
    <col min="15345" max="15345" width="17.140625" style="356" customWidth="1"/>
    <col min="15346" max="15346" width="10.85546875" style="356"/>
    <col min="15347" max="15347" width="17.85546875" style="356" customWidth="1"/>
    <col min="15348" max="15348" width="17.42578125" style="356" customWidth="1"/>
    <col min="15349" max="15359" width="10.85546875" style="356"/>
    <col min="15360" max="15360" width="34.7109375" style="356" customWidth="1"/>
    <col min="15361" max="15362" width="12.7109375" style="356" customWidth="1"/>
    <col min="15363" max="15363" width="17.85546875" style="356" customWidth="1"/>
    <col min="15364" max="15364" width="17.42578125" style="356" customWidth="1"/>
    <col min="15365" max="15366" width="10.85546875" style="356"/>
    <col min="15367" max="15367" width="7.140625" style="356" customWidth="1"/>
    <col min="15368" max="15374" width="9.7109375" style="356" customWidth="1"/>
    <col min="15375" max="15375" width="10.85546875" style="356"/>
    <col min="15376" max="15376" width="11.42578125" style="356" customWidth="1"/>
    <col min="15377" max="15377" width="15.7109375" style="356" customWidth="1"/>
    <col min="15378" max="15378" width="10.85546875" style="356"/>
    <col min="15379" max="15379" width="16.7109375" style="356" customWidth="1"/>
    <col min="15380" max="15599" width="10.85546875" style="356"/>
    <col min="15600" max="15600" width="34.7109375" style="356" customWidth="1"/>
    <col min="15601" max="15601" width="17.140625" style="356" customWidth="1"/>
    <col min="15602" max="15602" width="10.85546875" style="356"/>
    <col min="15603" max="15603" width="17.85546875" style="356" customWidth="1"/>
    <col min="15604" max="15604" width="17.42578125" style="356" customWidth="1"/>
    <col min="15605" max="15615" width="10.85546875" style="356"/>
    <col min="15616" max="15616" width="34.7109375" style="356" customWidth="1"/>
    <col min="15617" max="15618" width="12.7109375" style="356" customWidth="1"/>
    <col min="15619" max="15619" width="17.85546875" style="356" customWidth="1"/>
    <col min="15620" max="15620" width="17.42578125" style="356" customWidth="1"/>
    <col min="15621" max="15622" width="10.85546875" style="356"/>
    <col min="15623" max="15623" width="7.140625" style="356" customWidth="1"/>
    <col min="15624" max="15630" width="9.7109375" style="356" customWidth="1"/>
    <col min="15631" max="15631" width="10.85546875" style="356"/>
    <col min="15632" max="15632" width="11.42578125" style="356" customWidth="1"/>
    <col min="15633" max="15633" width="15.7109375" style="356" customWidth="1"/>
    <col min="15634" max="15634" width="10.85546875" style="356"/>
    <col min="15635" max="15635" width="16.7109375" style="356" customWidth="1"/>
    <col min="15636" max="15855" width="10.85546875" style="356"/>
    <col min="15856" max="15856" width="34.7109375" style="356" customWidth="1"/>
    <col min="15857" max="15857" width="17.140625" style="356" customWidth="1"/>
    <col min="15858" max="15858" width="10.85546875" style="356"/>
    <col min="15859" max="15859" width="17.85546875" style="356" customWidth="1"/>
    <col min="15860" max="15860" width="17.42578125" style="356" customWidth="1"/>
    <col min="15861" max="15871" width="10.85546875" style="356"/>
    <col min="15872" max="15872" width="34.7109375" style="356" customWidth="1"/>
    <col min="15873" max="15874" width="12.7109375" style="356" customWidth="1"/>
    <col min="15875" max="15875" width="17.85546875" style="356" customWidth="1"/>
    <col min="15876" max="15876" width="17.42578125" style="356" customWidth="1"/>
    <col min="15877" max="15878" width="10.85546875" style="356"/>
    <col min="15879" max="15879" width="7.140625" style="356" customWidth="1"/>
    <col min="15880" max="15886" width="9.7109375" style="356" customWidth="1"/>
    <col min="15887" max="15887" width="10.85546875" style="356"/>
    <col min="15888" max="15888" width="11.42578125" style="356" customWidth="1"/>
    <col min="15889" max="15889" width="15.7109375" style="356" customWidth="1"/>
    <col min="15890" max="15890" width="10.85546875" style="356"/>
    <col min="15891" max="15891" width="16.7109375" style="356" customWidth="1"/>
    <col min="15892" max="16111" width="10.85546875" style="356"/>
    <col min="16112" max="16112" width="34.7109375" style="356" customWidth="1"/>
    <col min="16113" max="16113" width="17.140625" style="356" customWidth="1"/>
    <col min="16114" max="16114" width="10.85546875" style="356"/>
    <col min="16115" max="16115" width="17.85546875" style="356" customWidth="1"/>
    <col min="16116" max="16116" width="17.42578125" style="356" customWidth="1"/>
    <col min="16117" max="16127" width="10.85546875" style="356"/>
    <col min="16128" max="16128" width="34.7109375" style="356" customWidth="1"/>
    <col min="16129" max="16130" width="12.7109375" style="356" customWidth="1"/>
    <col min="16131" max="16131" width="17.85546875" style="356" customWidth="1"/>
    <col min="16132" max="16132" width="17.42578125" style="356" customWidth="1"/>
    <col min="16133" max="16134" width="10.85546875" style="356"/>
    <col min="16135" max="16135" width="7.140625" style="356" customWidth="1"/>
    <col min="16136" max="16142" width="9.7109375" style="356" customWidth="1"/>
    <col min="16143" max="16143" width="10.85546875" style="356"/>
    <col min="16144" max="16144" width="11.42578125" style="356" customWidth="1"/>
    <col min="16145" max="16145" width="15.7109375" style="356" customWidth="1"/>
    <col min="16146" max="16146" width="10.85546875" style="356"/>
    <col min="16147" max="16147" width="16.7109375" style="356" customWidth="1"/>
    <col min="16148" max="16367" width="10.85546875" style="356"/>
    <col min="16368" max="16368" width="34.7109375" style="356" customWidth="1"/>
    <col min="16369" max="16369" width="17.140625" style="356" customWidth="1"/>
    <col min="16370" max="16370" width="10.85546875" style="356"/>
    <col min="16371" max="16371" width="17.85546875" style="356" customWidth="1"/>
    <col min="16372" max="16372" width="17.42578125" style="356" customWidth="1"/>
    <col min="16373" max="16384" width="10.85546875" style="356"/>
  </cols>
  <sheetData>
    <row r="1" spans="1:19" ht="17.25" thickTop="1" thickBot="1" x14ac:dyDescent="0.3">
      <c r="A1" s="693" t="s">
        <v>523</v>
      </c>
      <c r="B1" s="694">
        <f>'(C.H.M) MAIN D''OEUVRE'!C2</f>
        <v>1</v>
      </c>
      <c r="C1" s="695"/>
      <c r="D1" s="304" t="s">
        <v>57</v>
      </c>
      <c r="E1" s="424">
        <f ca="1">TODAY()</f>
        <v>46093</v>
      </c>
    </row>
    <row r="2" spans="1:19" ht="16.5" thickTop="1" x14ac:dyDescent="0.25">
      <c r="A2" s="1551"/>
      <c r="B2" s="1553" t="s">
        <v>791</v>
      </c>
      <c r="C2" s="1553" t="s">
        <v>792</v>
      </c>
      <c r="D2" s="1553" t="s">
        <v>793</v>
      </c>
      <c r="E2" s="1553" t="s">
        <v>794</v>
      </c>
    </row>
    <row r="3" spans="1:19" ht="31.5" customHeight="1" thickBot="1" x14ac:dyDescent="0.3">
      <c r="A3" s="1552"/>
      <c r="B3" s="1554"/>
      <c r="C3" s="1554"/>
      <c r="D3" s="1554"/>
      <c r="E3" s="1554"/>
    </row>
    <row r="4" spans="1:19" ht="21" customHeight="1" thickTop="1" thickBot="1" x14ac:dyDescent="0.3">
      <c r="A4" s="420" t="s">
        <v>797</v>
      </c>
      <c r="B4" s="439"/>
      <c r="C4" s="440" t="s">
        <v>199</v>
      </c>
      <c r="D4" s="416">
        <v>0</v>
      </c>
      <c r="E4" s="416">
        <v>0</v>
      </c>
      <c r="F4" s="1533" t="s">
        <v>795</v>
      </c>
      <c r="G4" s="1534"/>
      <c r="H4" s="1534"/>
      <c r="I4" s="1534"/>
      <c r="J4" s="1534"/>
      <c r="K4" s="1534"/>
      <c r="L4" s="1534"/>
      <c r="M4" s="1534"/>
      <c r="N4" s="1535"/>
      <c r="Q4" s="362"/>
      <c r="R4" s="362"/>
      <c r="S4" s="362"/>
    </row>
    <row r="5" spans="1:19" ht="21" customHeight="1" thickTop="1" thickBot="1" x14ac:dyDescent="0.3">
      <c r="A5" s="426" t="s">
        <v>157</v>
      </c>
      <c r="B5" s="396"/>
      <c r="C5" s="397" t="s">
        <v>199</v>
      </c>
      <c r="D5" s="398"/>
      <c r="E5" s="398"/>
      <c r="F5" s="1536"/>
      <c r="G5" s="1537"/>
      <c r="H5" s="1537"/>
      <c r="I5" s="1537"/>
      <c r="J5" s="1537"/>
      <c r="K5" s="1537"/>
      <c r="L5" s="1537"/>
      <c r="M5" s="1537"/>
      <c r="N5" s="1538"/>
      <c r="Q5" s="1517" t="s">
        <v>796</v>
      </c>
      <c r="R5" s="1518"/>
      <c r="S5" s="1519"/>
    </row>
    <row r="6" spans="1:19" ht="21" customHeight="1" thickTop="1" thickBot="1" x14ac:dyDescent="0.3">
      <c r="A6" s="366" t="s">
        <v>804</v>
      </c>
      <c r="B6" s="357">
        <f>H8</f>
        <v>0</v>
      </c>
      <c r="C6" s="368">
        <f>H22</f>
        <v>0</v>
      </c>
      <c r="D6" s="369">
        <f>D4*H8</f>
        <v>0</v>
      </c>
      <c r="E6" s="369">
        <f>E4*C6</f>
        <v>0</v>
      </c>
      <c r="F6" s="1527"/>
      <c r="G6" s="1528"/>
      <c r="H6" s="1539" t="s">
        <v>798</v>
      </c>
      <c r="I6" s="1528"/>
      <c r="J6" s="1539" t="s">
        <v>799</v>
      </c>
      <c r="K6" s="1528"/>
      <c r="L6" s="1539" t="s">
        <v>800</v>
      </c>
      <c r="M6" s="1528"/>
      <c r="N6" s="1539" t="s">
        <v>801</v>
      </c>
      <c r="Q6" s="1520"/>
      <c r="R6" s="1521"/>
      <c r="S6" s="1522"/>
    </row>
    <row r="7" spans="1:19" ht="21" customHeight="1" thickTop="1" thickBot="1" x14ac:dyDescent="0.3">
      <c r="A7" s="366" t="s">
        <v>807</v>
      </c>
      <c r="B7" s="415" t="s">
        <v>199</v>
      </c>
      <c r="C7" s="428" t="s">
        <v>199</v>
      </c>
      <c r="D7" s="370"/>
      <c r="E7" s="369"/>
      <c r="F7" s="1529"/>
      <c r="G7" s="1530"/>
      <c r="H7" s="1540"/>
      <c r="I7" s="1530"/>
      <c r="J7" s="1540"/>
      <c r="K7" s="1530"/>
      <c r="L7" s="1540"/>
      <c r="M7" s="1530"/>
      <c r="N7" s="1540"/>
      <c r="Q7" s="452" t="s">
        <v>802</v>
      </c>
      <c r="R7" s="361">
        <v>0</v>
      </c>
      <c r="S7" s="460" t="s">
        <v>803</v>
      </c>
    </row>
    <row r="8" spans="1:19" ht="21" customHeight="1" thickTop="1" thickBot="1" x14ac:dyDescent="0.3">
      <c r="A8" s="366" t="s">
        <v>810</v>
      </c>
      <c r="B8" s="429" t="s">
        <v>199</v>
      </c>
      <c r="C8" s="430"/>
      <c r="D8" s="504"/>
      <c r="E8" s="506"/>
      <c r="F8" s="1523" t="s">
        <v>808</v>
      </c>
      <c r="G8" s="1524"/>
      <c r="H8" s="477">
        <f>R7/100</f>
        <v>0</v>
      </c>
      <c r="I8" s="491"/>
      <c r="J8" s="447"/>
      <c r="K8" s="446"/>
      <c r="L8" s="446"/>
      <c r="M8" s="446"/>
      <c r="N8" s="448"/>
      <c r="Q8" s="453" t="s">
        <v>805</v>
      </c>
      <c r="R8" s="359">
        <v>0</v>
      </c>
      <c r="S8" s="461" t="s">
        <v>806</v>
      </c>
    </row>
    <row r="9" spans="1:19" ht="21" customHeight="1" thickTop="1" thickBot="1" x14ac:dyDescent="0.3">
      <c r="A9" s="419" t="s">
        <v>812</v>
      </c>
      <c r="B9" s="438" t="s">
        <v>199</v>
      </c>
      <c r="C9" s="437" t="s">
        <v>199</v>
      </c>
      <c r="D9" s="505">
        <f>SUM(D6:D8)</f>
        <v>0</v>
      </c>
      <c r="E9" s="507">
        <f>E6</f>
        <v>0</v>
      </c>
      <c r="F9" s="1544"/>
      <c r="G9" s="1545"/>
      <c r="H9" s="1545"/>
      <c r="I9" s="1545"/>
      <c r="J9" s="1545"/>
      <c r="K9" s="1545"/>
      <c r="L9" s="1545"/>
      <c r="M9" s="1545"/>
      <c r="N9" s="1546"/>
      <c r="Q9" s="454" t="s">
        <v>809</v>
      </c>
      <c r="R9" s="359">
        <v>0</v>
      </c>
      <c r="S9" s="461" t="s">
        <v>806</v>
      </c>
    </row>
    <row r="10" spans="1:19" ht="21" customHeight="1" thickTop="1" thickBot="1" x14ac:dyDescent="0.3">
      <c r="A10" s="421" t="s">
        <v>816</v>
      </c>
      <c r="B10" s="441" t="s">
        <v>199</v>
      </c>
      <c r="C10" s="442" t="s">
        <v>199</v>
      </c>
      <c r="D10" s="417">
        <f>D4+D9</f>
        <v>0</v>
      </c>
      <c r="E10" s="418">
        <f>E4+E9</f>
        <v>0</v>
      </c>
      <c r="F10" s="1523" t="s">
        <v>813</v>
      </c>
      <c r="G10" s="1524"/>
      <c r="H10" s="394"/>
      <c r="I10" s="395"/>
      <c r="J10" s="477">
        <f>IF(S8="% pv ht",(R8/100),0)</f>
        <v>0</v>
      </c>
      <c r="K10" s="498">
        <f>(100/(100-((J10+J12+J13+J14)*100)))*J10</f>
        <v>0</v>
      </c>
      <c r="L10" s="477">
        <f>IF(S8="% dt ht",(R8/100),0)</f>
        <v>0</v>
      </c>
      <c r="M10" s="476"/>
      <c r="N10" s="404"/>
      <c r="Q10" s="454" t="s">
        <v>811</v>
      </c>
      <c r="R10" s="359">
        <v>0</v>
      </c>
      <c r="S10" s="461" t="s">
        <v>806</v>
      </c>
    </row>
    <row r="11" spans="1:19" ht="21" customHeight="1" thickTop="1" thickBot="1" x14ac:dyDescent="0.3">
      <c r="A11" s="427" t="s">
        <v>817</v>
      </c>
      <c r="B11" s="399" t="s">
        <v>199</v>
      </c>
      <c r="C11" s="400" t="s">
        <v>199</v>
      </c>
      <c r="D11" s="401"/>
      <c r="E11" s="401"/>
      <c r="F11" s="1544"/>
      <c r="G11" s="1545"/>
      <c r="H11" s="1545"/>
      <c r="I11" s="1545"/>
      <c r="J11" s="1545"/>
      <c r="K11" s="1545"/>
      <c r="L11" s="1545"/>
      <c r="M11" s="1545"/>
      <c r="N11" s="1546"/>
      <c r="Q11" s="455" t="s">
        <v>814</v>
      </c>
      <c r="R11" s="360">
        <v>0</v>
      </c>
      <c r="S11" s="462" t="s">
        <v>815</v>
      </c>
    </row>
    <row r="12" spans="1:19" ht="21" customHeight="1" thickTop="1" x14ac:dyDescent="0.25">
      <c r="A12" s="366" t="s">
        <v>819</v>
      </c>
      <c r="B12" s="357">
        <f>IF(S8="% DT HT",L10,0)</f>
        <v>0</v>
      </c>
      <c r="C12" s="368">
        <f>IF(S21="% DT HT",L24,IF(S21="% st ht",O24,0))</f>
        <v>0</v>
      </c>
      <c r="D12" s="369">
        <f>IF(S8="% DT HT",D10*B12,IF(S8="% PV HT",0))</f>
        <v>0</v>
      </c>
      <c r="E12" s="369">
        <f>IF(S21="% DT HT",E10*C12,IF(S21="% PV HT",0))</f>
        <v>0</v>
      </c>
      <c r="F12" s="1547" t="s">
        <v>818</v>
      </c>
      <c r="G12" s="1548"/>
      <c r="H12" s="469"/>
      <c r="I12" s="397"/>
      <c r="J12" s="501">
        <f>IF(S9="% pv ht",(R9/100),0)</f>
        <v>0</v>
      </c>
      <c r="K12" s="499">
        <f>(100/(100-((J10+J12+J13+J14)*100)))*J12</f>
        <v>0</v>
      </c>
      <c r="L12" s="501">
        <f>IF(S9="% dt ht",(R9/100),0)</f>
        <v>0</v>
      </c>
      <c r="M12" s="469"/>
      <c r="N12" s="449"/>
      <c r="S12" s="358"/>
    </row>
    <row r="13" spans="1:19" ht="21" customHeight="1" thickBot="1" x14ac:dyDescent="0.3">
      <c r="A13" s="366" t="s">
        <v>821</v>
      </c>
      <c r="B13" s="357">
        <f>IF(S8="% PV HT",J10,0)</f>
        <v>0</v>
      </c>
      <c r="C13" s="368">
        <f>IF(S21="% PV HT",J24,0)</f>
        <v>0</v>
      </c>
      <c r="D13" s="506" t="str">
        <f>IF(S8="% DT HT","",IF(J10="","",(D10+D12+D19+D17)*K10))</f>
        <v/>
      </c>
      <c r="E13" s="506" t="str">
        <f>IF(S21="% DT HT","",IF(K24="","",(E10+E12+E19)*K24))</f>
        <v/>
      </c>
      <c r="F13" s="1525" t="s">
        <v>820</v>
      </c>
      <c r="G13" s="1526"/>
      <c r="H13" s="470"/>
      <c r="I13" s="496"/>
      <c r="J13" s="502">
        <f>IF(S10="% pv ht",(R10/100),0)</f>
        <v>0</v>
      </c>
      <c r="K13" s="497">
        <f>(100/(100-((J10+J12+J13+J14)*100)))*J13</f>
        <v>0</v>
      </c>
      <c r="L13" s="503">
        <f>IF(S10="% dt ht",(R10/100),0)</f>
        <v>0</v>
      </c>
      <c r="M13" s="470"/>
      <c r="N13" s="494"/>
    </row>
    <row r="14" spans="1:19" ht="21" customHeight="1" thickTop="1" thickBot="1" x14ac:dyDescent="0.3">
      <c r="A14" s="419" t="s">
        <v>823</v>
      </c>
      <c r="B14" s="438" t="s">
        <v>199</v>
      </c>
      <c r="C14" s="437" t="s">
        <v>199</v>
      </c>
      <c r="D14" s="505">
        <f>SUM(D12:D13)</f>
        <v>0</v>
      </c>
      <c r="E14" s="505">
        <f>SUM(E12:E13)</f>
        <v>0</v>
      </c>
      <c r="F14" s="1531" t="s">
        <v>822</v>
      </c>
      <c r="G14" s="1532"/>
      <c r="H14" s="472"/>
      <c r="I14" s="402"/>
      <c r="J14" s="503">
        <f>IF(S11="% pv ht",(R11/100),0)</f>
        <v>0</v>
      </c>
      <c r="K14" s="495">
        <f>(100/(100-((J14)*100))*J14)</f>
        <v>0</v>
      </c>
      <c r="L14" s="471"/>
      <c r="M14" s="402"/>
      <c r="N14" s="477">
        <f>IF(S11="% PR HT",(R11/100),0)</f>
        <v>0</v>
      </c>
    </row>
    <row r="15" spans="1:19" ht="21" customHeight="1" thickTop="1" x14ac:dyDescent="0.25">
      <c r="A15" s="427" t="s">
        <v>727</v>
      </c>
      <c r="B15" s="399" t="s">
        <v>199</v>
      </c>
      <c r="C15" s="400" t="s">
        <v>199</v>
      </c>
      <c r="D15" s="401"/>
      <c r="E15" s="401"/>
    </row>
    <row r="16" spans="1:19" ht="21" customHeight="1" x14ac:dyDescent="0.25">
      <c r="A16" s="366" t="s">
        <v>826</v>
      </c>
      <c r="B16" s="357">
        <f>IF(S9="% PV HT",J12,0)</f>
        <v>0</v>
      </c>
      <c r="C16" s="368">
        <f>IF(S22="% PV HT",J26,0)</f>
        <v>0</v>
      </c>
      <c r="D16" s="369">
        <f>IF(J12="","",(D10+D12+D19+D17)*K12)</f>
        <v>0</v>
      </c>
      <c r="E16" s="369">
        <f>IF(J26="","",(E10+E12+E19+E18)*K26)</f>
        <v>0</v>
      </c>
    </row>
    <row r="17" spans="1:19" ht="21" customHeight="1" thickBot="1" x14ac:dyDescent="0.3">
      <c r="A17" s="366" t="s">
        <v>827</v>
      </c>
      <c r="B17" s="357">
        <f>IF(S10="% DT HT",L13,0)</f>
        <v>0</v>
      </c>
      <c r="C17" s="368">
        <f>IF(S23="% DT HT",L27,IF(S23="% st ht",O26,0))</f>
        <v>0</v>
      </c>
      <c r="D17" s="369">
        <f>IF(S10="% DT HT",D10*L13,IF(S10="% PV HT",0))</f>
        <v>0</v>
      </c>
      <c r="E17" s="369">
        <f>IF(S23="% DT HT",E10*L27,IF(S23="% PV HT",0))</f>
        <v>0</v>
      </c>
      <c r="F17" s="363"/>
      <c r="G17" s="363"/>
      <c r="H17" s="363"/>
      <c r="I17" s="363"/>
      <c r="J17" s="363"/>
      <c r="K17" s="363"/>
      <c r="L17" s="363"/>
      <c r="M17" s="363"/>
      <c r="N17" s="363"/>
      <c r="Q17" s="362"/>
      <c r="R17" s="362"/>
      <c r="S17" s="362"/>
    </row>
    <row r="18" spans="1:19" ht="21" customHeight="1" thickTop="1" x14ac:dyDescent="0.25">
      <c r="A18" s="366" t="s">
        <v>828</v>
      </c>
      <c r="B18" s="357">
        <f>IF(S10="% DT HT",0,IF(S10="% pv ht",J13,IF(R10="","")))</f>
        <v>0</v>
      </c>
      <c r="C18" s="368">
        <f>IF(S23="% DT HT",0,IF(S23="% pv ht",J27,IF(S23="% st ht",O27,IF(S23="",""))))</f>
        <v>0</v>
      </c>
      <c r="D18" s="369">
        <f>IF(S10="% DT HT",0,IF(S10="% PV HT",(D10+D12+D19+D17))*K13)</f>
        <v>0</v>
      </c>
      <c r="E18" s="369">
        <f>IF(S23="% DT HT",0,IF(S23="% PV HT",(E10+E12+E19+E17))*L13)</f>
        <v>0</v>
      </c>
      <c r="F18" s="1533" t="s">
        <v>824</v>
      </c>
      <c r="G18" s="1534"/>
      <c r="H18" s="1534"/>
      <c r="I18" s="1534"/>
      <c r="J18" s="1534"/>
      <c r="K18" s="1534"/>
      <c r="L18" s="1534"/>
      <c r="M18" s="1534"/>
      <c r="N18" s="1535"/>
      <c r="Q18" s="1517" t="s">
        <v>825</v>
      </c>
      <c r="R18" s="1518"/>
      <c r="S18" s="1519"/>
    </row>
    <row r="19" spans="1:19" ht="21" customHeight="1" thickBot="1" x14ac:dyDescent="0.3">
      <c r="A19" s="366" t="s">
        <v>829</v>
      </c>
      <c r="B19" s="357">
        <f>IF(S9="% DT HT",L12,0)</f>
        <v>0</v>
      </c>
      <c r="C19" s="368">
        <f>IF(S22="% PV HT",L26,0)</f>
        <v>0</v>
      </c>
      <c r="D19" s="506">
        <f>IF(S9="% DT HT",D10*B19,IF(S9="% PV HT",0))</f>
        <v>0</v>
      </c>
      <c r="E19" s="506">
        <f>IF(S22="% DT HT",E10*L27,IF(S22="% PV HT",0))</f>
        <v>0</v>
      </c>
      <c r="F19" s="1536"/>
      <c r="G19" s="1537"/>
      <c r="H19" s="1537"/>
      <c r="I19" s="1537"/>
      <c r="J19" s="1537"/>
      <c r="K19" s="1537"/>
      <c r="L19" s="1537"/>
      <c r="M19" s="1537"/>
      <c r="N19" s="1538"/>
      <c r="Q19" s="1520"/>
      <c r="R19" s="1521"/>
      <c r="S19" s="1522"/>
    </row>
    <row r="20" spans="1:19" ht="21" customHeight="1" thickTop="1" thickBot="1" x14ac:dyDescent="0.3">
      <c r="A20" s="419" t="s">
        <v>831</v>
      </c>
      <c r="B20" s="434"/>
      <c r="C20" s="435"/>
      <c r="D20" s="507">
        <f>SUM(D16:D19)</f>
        <v>0</v>
      </c>
      <c r="E20" s="507">
        <f>SUM(E16:E19)</f>
        <v>0</v>
      </c>
      <c r="F20" s="1555"/>
      <c r="G20" s="1556"/>
      <c r="H20" s="1539" t="s">
        <v>798</v>
      </c>
      <c r="I20" s="1556"/>
      <c r="J20" s="1539" t="s">
        <v>799</v>
      </c>
      <c r="K20" s="1556"/>
      <c r="L20" s="1539" t="s">
        <v>800</v>
      </c>
      <c r="M20" s="364"/>
      <c r="N20" s="1539" t="s">
        <v>801</v>
      </c>
      <c r="O20" s="1542" t="s">
        <v>830</v>
      </c>
      <c r="Q20" s="456" t="s">
        <v>802</v>
      </c>
      <c r="R20" s="361">
        <v>0</v>
      </c>
      <c r="S20" s="463" t="s">
        <v>803</v>
      </c>
    </row>
    <row r="21" spans="1:19" ht="21" customHeight="1" thickTop="1" thickBot="1" x14ac:dyDescent="0.3">
      <c r="A21" s="422" t="s">
        <v>832</v>
      </c>
      <c r="B21" s="441" t="s">
        <v>199</v>
      </c>
      <c r="C21" s="442" t="s">
        <v>199</v>
      </c>
      <c r="D21" s="417">
        <f>D10+D14+D20</f>
        <v>0</v>
      </c>
      <c r="E21" s="417">
        <f>E10+E14+E20</f>
        <v>0</v>
      </c>
      <c r="F21" s="1558"/>
      <c r="G21" s="1559"/>
      <c r="H21" s="1541"/>
      <c r="I21" s="1559"/>
      <c r="J21" s="1541"/>
      <c r="K21" s="1559"/>
      <c r="L21" s="1541"/>
      <c r="M21" s="365"/>
      <c r="N21" s="1541"/>
      <c r="O21" s="1543"/>
      <c r="Q21" s="457" t="s">
        <v>805</v>
      </c>
      <c r="R21" s="359">
        <v>0</v>
      </c>
      <c r="S21" s="464" t="s">
        <v>806</v>
      </c>
    </row>
    <row r="22" spans="1:19" ht="21" customHeight="1" thickTop="1" thickBot="1" x14ac:dyDescent="0.3">
      <c r="A22" s="426" t="s">
        <v>728</v>
      </c>
      <c r="B22" s="399" t="s">
        <v>199</v>
      </c>
      <c r="C22" s="400" t="s">
        <v>199</v>
      </c>
      <c r="D22" s="401"/>
      <c r="E22" s="401"/>
      <c r="F22" s="1523" t="s">
        <v>808</v>
      </c>
      <c r="G22" s="1524"/>
      <c r="H22" s="477">
        <f>R20/100</f>
        <v>0</v>
      </c>
      <c r="I22" s="476"/>
      <c r="J22" s="425"/>
      <c r="K22" s="403"/>
      <c r="L22" s="403"/>
      <c r="M22" s="403"/>
      <c r="N22" s="403"/>
      <c r="O22" s="450"/>
      <c r="Q22" s="458" t="s">
        <v>809</v>
      </c>
      <c r="R22" s="359">
        <v>0</v>
      </c>
      <c r="S22" s="464" t="s">
        <v>815</v>
      </c>
    </row>
    <row r="23" spans="1:19" ht="21" customHeight="1" thickTop="1" thickBot="1" x14ac:dyDescent="0.3">
      <c r="A23" s="366" t="s">
        <v>833</v>
      </c>
      <c r="B23" s="357">
        <f>IF(S11="% PR HT",N14,0)</f>
        <v>0</v>
      </c>
      <c r="C23" s="368">
        <f>IF(S24="% PR HT",N28,0)</f>
        <v>0</v>
      </c>
      <c r="D23" s="369">
        <f>IF(S11="% PR HT",D21*N14,IF(S11="% PV HT",0))</f>
        <v>0</v>
      </c>
      <c r="E23" s="369">
        <f>IF(S24="% PR HT",E21*C23,IF(S24="% PV HT",0))</f>
        <v>0</v>
      </c>
      <c r="F23" s="1544"/>
      <c r="G23" s="1545"/>
      <c r="H23" s="1545"/>
      <c r="I23" s="1545"/>
      <c r="J23" s="1545"/>
      <c r="K23" s="1545"/>
      <c r="L23" s="1545"/>
      <c r="M23" s="1545"/>
      <c r="N23" s="1545"/>
      <c r="O23" s="1546"/>
      <c r="Q23" s="458" t="str">
        <f>Q10</f>
        <v>PRORATA :</v>
      </c>
      <c r="R23" s="359">
        <v>0</v>
      </c>
      <c r="S23" s="464" t="s">
        <v>806</v>
      </c>
    </row>
    <row r="24" spans="1:19" ht="21" customHeight="1" thickTop="1" thickBot="1" x14ac:dyDescent="0.3">
      <c r="A24" s="366" t="s">
        <v>821</v>
      </c>
      <c r="B24" s="357">
        <f>IF(S11="% PV HT",J14,0)</f>
        <v>0</v>
      </c>
      <c r="C24" s="368">
        <f>IF(S24="% PV HT",J28,0)</f>
        <v>0</v>
      </c>
      <c r="D24" s="506">
        <f>IF(D23=0,D21*K14,"")</f>
        <v>0</v>
      </c>
      <c r="E24" s="506">
        <f>IF(E23=0,E21*K28,"")</f>
        <v>0</v>
      </c>
      <c r="F24" s="1523" t="s">
        <v>813</v>
      </c>
      <c r="G24" s="1524"/>
      <c r="H24" s="451"/>
      <c r="I24" s="478"/>
      <c r="J24" s="479">
        <f>IF(S21="% pv ht",(R21/100),0)</f>
        <v>0</v>
      </c>
      <c r="K24" s="490">
        <f>(100/(100-((J24+J26+J27+J28)*100)))*J24</f>
        <v>0</v>
      </c>
      <c r="L24" s="479">
        <f>IF(S21="% dt ht",(R21/100),0)</f>
        <v>0</v>
      </c>
      <c r="M24" s="491"/>
      <c r="N24" s="448"/>
      <c r="O24" s="500">
        <f>IF(S21="% st ht",(R21/100),0)</f>
        <v>0</v>
      </c>
      <c r="Q24" s="459" t="s">
        <v>814</v>
      </c>
      <c r="R24" s="360">
        <v>0</v>
      </c>
      <c r="S24" s="465" t="s">
        <v>834</v>
      </c>
    </row>
    <row r="25" spans="1:19" ht="21" customHeight="1" thickTop="1" thickBot="1" x14ac:dyDescent="0.3">
      <c r="A25" s="419" t="s">
        <v>835</v>
      </c>
      <c r="B25" s="436"/>
      <c r="C25" s="437" t="s">
        <v>199</v>
      </c>
      <c r="D25" s="505">
        <f>SUM(D23:D24)</f>
        <v>0</v>
      </c>
      <c r="E25" s="508">
        <f>SUM(E23:E24)</f>
        <v>0</v>
      </c>
      <c r="F25" s="1555"/>
      <c r="G25" s="1556"/>
      <c r="H25" s="1556"/>
      <c r="I25" s="1556"/>
      <c r="J25" s="1556"/>
      <c r="K25" s="1556"/>
      <c r="L25" s="1556"/>
      <c r="M25" s="1556"/>
      <c r="N25" s="1556"/>
      <c r="O25" s="1557"/>
      <c r="S25" s="358"/>
    </row>
    <row r="26" spans="1:19" ht="21" customHeight="1" thickTop="1" thickBot="1" x14ac:dyDescent="0.3">
      <c r="A26" s="422" t="s">
        <v>836</v>
      </c>
      <c r="B26" s="441"/>
      <c r="C26" s="442" t="s">
        <v>199</v>
      </c>
      <c r="D26" s="417">
        <f>D21+D25</f>
        <v>0</v>
      </c>
      <c r="E26" s="417">
        <f>E21+E25</f>
        <v>0</v>
      </c>
      <c r="F26" s="1547" t="s">
        <v>818</v>
      </c>
      <c r="G26" s="1548"/>
      <c r="H26" s="473"/>
      <c r="I26" s="480"/>
      <c r="J26" s="484">
        <f>IF(S22="% pv ht",(R22/100),0)</f>
        <v>0</v>
      </c>
      <c r="K26" s="487">
        <f>(100/(100-((J24+J26+J27+J28)*100)))*J26</f>
        <v>0</v>
      </c>
      <c r="L26" s="484">
        <f>IF(S22="% dt ht",(R22/100),0)</f>
        <v>0</v>
      </c>
      <c r="M26" s="473"/>
      <c r="N26" s="480"/>
      <c r="O26" s="484">
        <f>IF(S22="% st ht",(R22/100),0)</f>
        <v>0</v>
      </c>
      <c r="S26" s="358"/>
    </row>
    <row r="27" spans="1:19" ht="21" customHeight="1" thickTop="1" thickBot="1" x14ac:dyDescent="0.3">
      <c r="A27" s="367" t="s">
        <v>837</v>
      </c>
      <c r="B27" s="371">
        <v>0.2</v>
      </c>
      <c r="C27" s="372"/>
      <c r="D27" s="509">
        <f>D26*B27</f>
        <v>0</v>
      </c>
      <c r="E27" s="509">
        <f>E26*B27</f>
        <v>0</v>
      </c>
      <c r="F27" s="1525" t="s">
        <v>820</v>
      </c>
      <c r="G27" s="1526"/>
      <c r="H27" s="474"/>
      <c r="I27" s="481"/>
      <c r="J27" s="485">
        <f>IF(S23="% pv ht",(R23/100),0)</f>
        <v>0</v>
      </c>
      <c r="K27" s="488">
        <f>(100/(100-((J24+J26+J27+J28)*100)))*J27</f>
        <v>0</v>
      </c>
      <c r="L27" s="486">
        <f>IF(S23="% dt ht",(R23/100),0)</f>
        <v>0</v>
      </c>
      <c r="M27" s="474"/>
      <c r="N27" s="492"/>
      <c r="O27" s="486">
        <f>IF(S23="% st ht",(R23/100),0)</f>
        <v>0</v>
      </c>
      <c r="S27" s="358"/>
    </row>
    <row r="28" spans="1:19" ht="21" customHeight="1" thickTop="1" thickBot="1" x14ac:dyDescent="0.3">
      <c r="A28" s="431" t="s">
        <v>838</v>
      </c>
      <c r="B28" s="432" t="s">
        <v>199</v>
      </c>
      <c r="C28" s="433" t="s">
        <v>199</v>
      </c>
      <c r="D28" s="505">
        <f>D26+D27</f>
        <v>0</v>
      </c>
      <c r="E28" s="507">
        <f>SUM(E26:E27)</f>
        <v>0</v>
      </c>
      <c r="F28" s="1531" t="s">
        <v>822</v>
      </c>
      <c r="G28" s="1532"/>
      <c r="H28" s="475"/>
      <c r="I28" s="482"/>
      <c r="J28" s="486">
        <f>IF(S24="% pv ht",(R24/100),0)</f>
        <v>0</v>
      </c>
      <c r="K28" s="483">
        <f>(100/(100-((J28)*100))*J28)</f>
        <v>0</v>
      </c>
      <c r="L28" s="489"/>
      <c r="M28" s="482"/>
      <c r="N28" s="479">
        <f>IF(S24="% PR ht",(R24/100),0)</f>
        <v>0</v>
      </c>
      <c r="O28" s="493"/>
    </row>
    <row r="29" spans="1:19" ht="21" customHeight="1" thickTop="1" thickBot="1" x14ac:dyDescent="0.3">
      <c r="A29" s="423" t="s">
        <v>839</v>
      </c>
      <c r="B29" s="443" t="s">
        <v>199</v>
      </c>
      <c r="C29" s="444" t="s">
        <v>199</v>
      </c>
      <c r="D29" s="1549">
        <f>SUM(D28:E28)</f>
        <v>0</v>
      </c>
      <c r="E29" s="1550"/>
      <c r="R29" s="356" t="s">
        <v>844</v>
      </c>
    </row>
    <row r="30" spans="1:19" ht="21" customHeight="1" thickTop="1" thickBot="1" x14ac:dyDescent="0.3">
      <c r="A30" s="427" t="s">
        <v>840</v>
      </c>
      <c r="B30" s="405" t="s">
        <v>199</v>
      </c>
      <c r="C30" s="406" t="s">
        <v>199</v>
      </c>
      <c r="D30" s="407" t="s">
        <v>199</v>
      </c>
      <c r="E30" s="408" t="s">
        <v>199</v>
      </c>
    </row>
    <row r="31" spans="1:19" ht="21" customHeight="1" thickTop="1" thickBot="1" x14ac:dyDescent="0.3">
      <c r="A31" s="467" t="s">
        <v>841</v>
      </c>
      <c r="B31" s="466" t="e">
        <f>D26/D4</f>
        <v>#DIV/0!</v>
      </c>
      <c r="C31" s="409" t="s">
        <v>199</v>
      </c>
      <c r="D31" s="410" t="s">
        <v>199</v>
      </c>
      <c r="E31" s="411" t="s">
        <v>199</v>
      </c>
    </row>
    <row r="32" spans="1:19" ht="21" customHeight="1" thickTop="1" thickBot="1" x14ac:dyDescent="0.3">
      <c r="A32" s="468" t="s">
        <v>842</v>
      </c>
      <c r="B32" s="414" t="s">
        <v>199</v>
      </c>
      <c r="C32" s="466" t="e">
        <f>E26/E4</f>
        <v>#DIV/0!</v>
      </c>
      <c r="D32" s="412" t="s">
        <v>199</v>
      </c>
      <c r="E32" s="413" t="s">
        <v>199</v>
      </c>
    </row>
    <row r="33" spans="1:5" ht="21" customHeight="1" thickTop="1" thickBot="1" x14ac:dyDescent="0.3">
      <c r="A33" s="445" t="s">
        <v>843</v>
      </c>
      <c r="B33" s="511"/>
      <c r="C33" s="511"/>
      <c r="D33" s="510">
        <f>D20+D25</f>
        <v>0</v>
      </c>
      <c r="E33" s="510">
        <f>E20+E25</f>
        <v>0</v>
      </c>
    </row>
    <row r="34" spans="1:5" ht="21.95" customHeight="1" thickTop="1" x14ac:dyDescent="0.25"/>
    <row r="35" spans="1:5" ht="21.95" customHeight="1" x14ac:dyDescent="0.25"/>
  </sheetData>
  <mergeCells count="40">
    <mergeCell ref="F26:G26"/>
    <mergeCell ref="F28:G28"/>
    <mergeCell ref="F27:G27"/>
    <mergeCell ref="D29:E29"/>
    <mergeCell ref="A2:A3"/>
    <mergeCell ref="B2:B3"/>
    <mergeCell ref="C2:C3"/>
    <mergeCell ref="D2:D3"/>
    <mergeCell ref="E2:E3"/>
    <mergeCell ref="F25:O25"/>
    <mergeCell ref="F20:G21"/>
    <mergeCell ref="I20:I21"/>
    <mergeCell ref="K20:K21"/>
    <mergeCell ref="H20:H21"/>
    <mergeCell ref="J20:J21"/>
    <mergeCell ref="L20:L21"/>
    <mergeCell ref="N20:N21"/>
    <mergeCell ref="O20:O21"/>
    <mergeCell ref="F22:G22"/>
    <mergeCell ref="F24:G24"/>
    <mergeCell ref="N6:N7"/>
    <mergeCell ref="M6:M7"/>
    <mergeCell ref="F9:N9"/>
    <mergeCell ref="F11:N11"/>
    <mergeCell ref="F23:O23"/>
    <mergeCell ref="F12:G12"/>
    <mergeCell ref="F18:N19"/>
    <mergeCell ref="Q5:S6"/>
    <mergeCell ref="Q18:S19"/>
    <mergeCell ref="F8:G8"/>
    <mergeCell ref="F10:G10"/>
    <mergeCell ref="F13:G13"/>
    <mergeCell ref="F6:G7"/>
    <mergeCell ref="I6:I7"/>
    <mergeCell ref="K6:K7"/>
    <mergeCell ref="F14:G14"/>
    <mergeCell ref="F4:N5"/>
    <mergeCell ref="J6:J7"/>
    <mergeCell ref="H6:H7"/>
    <mergeCell ref="L6:L7"/>
  </mergeCells>
  <dataValidations disablePrompts="1" count="4">
    <dataValidation type="list" allowBlank="1" showInputMessage="1" showErrorMessage="1" sqref="S9:S10 JO7:JO8 TK7:TK8 ADG7:ADG8 ANC7:ANC8 AWY7:AWY8 BGU7:BGU8 BQQ7:BQQ8 CAM7:CAM8 CKI7:CKI8 CUE7:CUE8 DEA7:DEA8 DNW7:DNW8 DXS7:DXS8 EHO7:EHO8 ERK7:ERK8 FBG7:FBG8 FLC7:FLC8 FUY7:FUY8 GEU7:GEU8 GOQ7:GOQ8 GYM7:GYM8 HII7:HII8 HSE7:HSE8 ICA7:ICA8 ILW7:ILW8 IVS7:IVS8 JFO7:JFO8 JPK7:JPK8 JZG7:JZG8 KJC7:KJC8 KSY7:KSY8 LCU7:LCU8 LMQ7:LMQ8 LWM7:LWM8 MGI7:MGI8 MQE7:MQE8 NAA7:NAA8 NJW7:NJW8 NTS7:NTS8 ODO7:ODO8 ONK7:ONK8 OXG7:OXG8 PHC7:PHC8 PQY7:PQY8 QAU7:QAU8 QKQ7:QKQ8 QUM7:QUM8 REI7:REI8 ROE7:ROE8 RYA7:RYA8 SHW7:SHW8 SRS7:SRS8 TBO7:TBO8 TLK7:TLK8 TVG7:TVG8 UFC7:UFC8 UOY7:UOY8 UYU7:UYU8 VIQ7:VIQ8 VSM7:VSM8 WCI7:WCI8 WME7:WME8 WWA7:WWA8 S65543:S65544 JO65543:JO65544 TK65543:TK65544 ADG65543:ADG65544 ANC65543:ANC65544 AWY65543:AWY65544 BGU65543:BGU65544 BQQ65543:BQQ65544 CAM65543:CAM65544 CKI65543:CKI65544 CUE65543:CUE65544 DEA65543:DEA65544 DNW65543:DNW65544 DXS65543:DXS65544 EHO65543:EHO65544 ERK65543:ERK65544 FBG65543:FBG65544 FLC65543:FLC65544 FUY65543:FUY65544 GEU65543:GEU65544 GOQ65543:GOQ65544 GYM65543:GYM65544 HII65543:HII65544 HSE65543:HSE65544 ICA65543:ICA65544 ILW65543:ILW65544 IVS65543:IVS65544 JFO65543:JFO65544 JPK65543:JPK65544 JZG65543:JZG65544 KJC65543:KJC65544 KSY65543:KSY65544 LCU65543:LCU65544 LMQ65543:LMQ65544 LWM65543:LWM65544 MGI65543:MGI65544 MQE65543:MQE65544 NAA65543:NAA65544 NJW65543:NJW65544 NTS65543:NTS65544 ODO65543:ODO65544 ONK65543:ONK65544 OXG65543:OXG65544 PHC65543:PHC65544 PQY65543:PQY65544 QAU65543:QAU65544 QKQ65543:QKQ65544 QUM65543:QUM65544 REI65543:REI65544 ROE65543:ROE65544 RYA65543:RYA65544 SHW65543:SHW65544 SRS65543:SRS65544 TBO65543:TBO65544 TLK65543:TLK65544 TVG65543:TVG65544 UFC65543:UFC65544 UOY65543:UOY65544 UYU65543:UYU65544 VIQ65543:VIQ65544 VSM65543:VSM65544 WCI65543:WCI65544 WME65543:WME65544 WWA65543:WWA65544 S131079:S131080 JO131079:JO131080 TK131079:TK131080 ADG131079:ADG131080 ANC131079:ANC131080 AWY131079:AWY131080 BGU131079:BGU131080 BQQ131079:BQQ131080 CAM131079:CAM131080 CKI131079:CKI131080 CUE131079:CUE131080 DEA131079:DEA131080 DNW131079:DNW131080 DXS131079:DXS131080 EHO131079:EHO131080 ERK131079:ERK131080 FBG131079:FBG131080 FLC131079:FLC131080 FUY131079:FUY131080 GEU131079:GEU131080 GOQ131079:GOQ131080 GYM131079:GYM131080 HII131079:HII131080 HSE131079:HSE131080 ICA131079:ICA131080 ILW131079:ILW131080 IVS131079:IVS131080 JFO131079:JFO131080 JPK131079:JPK131080 JZG131079:JZG131080 KJC131079:KJC131080 KSY131079:KSY131080 LCU131079:LCU131080 LMQ131079:LMQ131080 LWM131079:LWM131080 MGI131079:MGI131080 MQE131079:MQE131080 NAA131079:NAA131080 NJW131079:NJW131080 NTS131079:NTS131080 ODO131079:ODO131080 ONK131079:ONK131080 OXG131079:OXG131080 PHC131079:PHC131080 PQY131079:PQY131080 QAU131079:QAU131080 QKQ131079:QKQ131080 QUM131079:QUM131080 REI131079:REI131080 ROE131079:ROE131080 RYA131079:RYA131080 SHW131079:SHW131080 SRS131079:SRS131080 TBO131079:TBO131080 TLK131079:TLK131080 TVG131079:TVG131080 UFC131079:UFC131080 UOY131079:UOY131080 UYU131079:UYU131080 VIQ131079:VIQ131080 VSM131079:VSM131080 WCI131079:WCI131080 WME131079:WME131080 WWA131079:WWA131080 S196615:S196616 JO196615:JO196616 TK196615:TK196616 ADG196615:ADG196616 ANC196615:ANC196616 AWY196615:AWY196616 BGU196615:BGU196616 BQQ196615:BQQ196616 CAM196615:CAM196616 CKI196615:CKI196616 CUE196615:CUE196616 DEA196615:DEA196616 DNW196615:DNW196616 DXS196615:DXS196616 EHO196615:EHO196616 ERK196615:ERK196616 FBG196615:FBG196616 FLC196615:FLC196616 FUY196615:FUY196616 GEU196615:GEU196616 GOQ196615:GOQ196616 GYM196615:GYM196616 HII196615:HII196616 HSE196615:HSE196616 ICA196615:ICA196616 ILW196615:ILW196616 IVS196615:IVS196616 JFO196615:JFO196616 JPK196615:JPK196616 JZG196615:JZG196616 KJC196615:KJC196616 KSY196615:KSY196616 LCU196615:LCU196616 LMQ196615:LMQ196616 LWM196615:LWM196616 MGI196615:MGI196616 MQE196615:MQE196616 NAA196615:NAA196616 NJW196615:NJW196616 NTS196615:NTS196616 ODO196615:ODO196616 ONK196615:ONK196616 OXG196615:OXG196616 PHC196615:PHC196616 PQY196615:PQY196616 QAU196615:QAU196616 QKQ196615:QKQ196616 QUM196615:QUM196616 REI196615:REI196616 ROE196615:ROE196616 RYA196615:RYA196616 SHW196615:SHW196616 SRS196615:SRS196616 TBO196615:TBO196616 TLK196615:TLK196616 TVG196615:TVG196616 UFC196615:UFC196616 UOY196615:UOY196616 UYU196615:UYU196616 VIQ196615:VIQ196616 VSM196615:VSM196616 WCI196615:WCI196616 WME196615:WME196616 WWA196615:WWA196616 S262151:S262152 JO262151:JO262152 TK262151:TK262152 ADG262151:ADG262152 ANC262151:ANC262152 AWY262151:AWY262152 BGU262151:BGU262152 BQQ262151:BQQ262152 CAM262151:CAM262152 CKI262151:CKI262152 CUE262151:CUE262152 DEA262151:DEA262152 DNW262151:DNW262152 DXS262151:DXS262152 EHO262151:EHO262152 ERK262151:ERK262152 FBG262151:FBG262152 FLC262151:FLC262152 FUY262151:FUY262152 GEU262151:GEU262152 GOQ262151:GOQ262152 GYM262151:GYM262152 HII262151:HII262152 HSE262151:HSE262152 ICA262151:ICA262152 ILW262151:ILW262152 IVS262151:IVS262152 JFO262151:JFO262152 JPK262151:JPK262152 JZG262151:JZG262152 KJC262151:KJC262152 KSY262151:KSY262152 LCU262151:LCU262152 LMQ262151:LMQ262152 LWM262151:LWM262152 MGI262151:MGI262152 MQE262151:MQE262152 NAA262151:NAA262152 NJW262151:NJW262152 NTS262151:NTS262152 ODO262151:ODO262152 ONK262151:ONK262152 OXG262151:OXG262152 PHC262151:PHC262152 PQY262151:PQY262152 QAU262151:QAU262152 QKQ262151:QKQ262152 QUM262151:QUM262152 REI262151:REI262152 ROE262151:ROE262152 RYA262151:RYA262152 SHW262151:SHW262152 SRS262151:SRS262152 TBO262151:TBO262152 TLK262151:TLK262152 TVG262151:TVG262152 UFC262151:UFC262152 UOY262151:UOY262152 UYU262151:UYU262152 VIQ262151:VIQ262152 VSM262151:VSM262152 WCI262151:WCI262152 WME262151:WME262152 WWA262151:WWA262152 S327687:S327688 JO327687:JO327688 TK327687:TK327688 ADG327687:ADG327688 ANC327687:ANC327688 AWY327687:AWY327688 BGU327687:BGU327688 BQQ327687:BQQ327688 CAM327687:CAM327688 CKI327687:CKI327688 CUE327687:CUE327688 DEA327687:DEA327688 DNW327687:DNW327688 DXS327687:DXS327688 EHO327687:EHO327688 ERK327687:ERK327688 FBG327687:FBG327688 FLC327687:FLC327688 FUY327687:FUY327688 GEU327687:GEU327688 GOQ327687:GOQ327688 GYM327687:GYM327688 HII327687:HII327688 HSE327687:HSE327688 ICA327687:ICA327688 ILW327687:ILW327688 IVS327687:IVS327688 JFO327687:JFO327688 JPK327687:JPK327688 JZG327687:JZG327688 KJC327687:KJC327688 KSY327687:KSY327688 LCU327687:LCU327688 LMQ327687:LMQ327688 LWM327687:LWM327688 MGI327687:MGI327688 MQE327687:MQE327688 NAA327687:NAA327688 NJW327687:NJW327688 NTS327687:NTS327688 ODO327687:ODO327688 ONK327687:ONK327688 OXG327687:OXG327688 PHC327687:PHC327688 PQY327687:PQY327688 QAU327687:QAU327688 QKQ327687:QKQ327688 QUM327687:QUM327688 REI327687:REI327688 ROE327687:ROE327688 RYA327687:RYA327688 SHW327687:SHW327688 SRS327687:SRS327688 TBO327687:TBO327688 TLK327687:TLK327688 TVG327687:TVG327688 UFC327687:UFC327688 UOY327687:UOY327688 UYU327687:UYU327688 VIQ327687:VIQ327688 VSM327687:VSM327688 WCI327687:WCI327688 WME327687:WME327688 WWA327687:WWA327688 S393223:S393224 JO393223:JO393224 TK393223:TK393224 ADG393223:ADG393224 ANC393223:ANC393224 AWY393223:AWY393224 BGU393223:BGU393224 BQQ393223:BQQ393224 CAM393223:CAM393224 CKI393223:CKI393224 CUE393223:CUE393224 DEA393223:DEA393224 DNW393223:DNW393224 DXS393223:DXS393224 EHO393223:EHO393224 ERK393223:ERK393224 FBG393223:FBG393224 FLC393223:FLC393224 FUY393223:FUY393224 GEU393223:GEU393224 GOQ393223:GOQ393224 GYM393223:GYM393224 HII393223:HII393224 HSE393223:HSE393224 ICA393223:ICA393224 ILW393223:ILW393224 IVS393223:IVS393224 JFO393223:JFO393224 JPK393223:JPK393224 JZG393223:JZG393224 KJC393223:KJC393224 KSY393223:KSY393224 LCU393223:LCU393224 LMQ393223:LMQ393224 LWM393223:LWM393224 MGI393223:MGI393224 MQE393223:MQE393224 NAA393223:NAA393224 NJW393223:NJW393224 NTS393223:NTS393224 ODO393223:ODO393224 ONK393223:ONK393224 OXG393223:OXG393224 PHC393223:PHC393224 PQY393223:PQY393224 QAU393223:QAU393224 QKQ393223:QKQ393224 QUM393223:QUM393224 REI393223:REI393224 ROE393223:ROE393224 RYA393223:RYA393224 SHW393223:SHW393224 SRS393223:SRS393224 TBO393223:TBO393224 TLK393223:TLK393224 TVG393223:TVG393224 UFC393223:UFC393224 UOY393223:UOY393224 UYU393223:UYU393224 VIQ393223:VIQ393224 VSM393223:VSM393224 WCI393223:WCI393224 WME393223:WME393224 WWA393223:WWA393224 S458759:S458760 JO458759:JO458760 TK458759:TK458760 ADG458759:ADG458760 ANC458759:ANC458760 AWY458759:AWY458760 BGU458759:BGU458760 BQQ458759:BQQ458760 CAM458759:CAM458760 CKI458759:CKI458760 CUE458759:CUE458760 DEA458759:DEA458760 DNW458759:DNW458760 DXS458759:DXS458760 EHO458759:EHO458760 ERK458759:ERK458760 FBG458759:FBG458760 FLC458759:FLC458760 FUY458759:FUY458760 GEU458759:GEU458760 GOQ458759:GOQ458760 GYM458759:GYM458760 HII458759:HII458760 HSE458759:HSE458760 ICA458759:ICA458760 ILW458759:ILW458760 IVS458759:IVS458760 JFO458759:JFO458760 JPK458759:JPK458760 JZG458759:JZG458760 KJC458759:KJC458760 KSY458759:KSY458760 LCU458759:LCU458760 LMQ458759:LMQ458760 LWM458759:LWM458760 MGI458759:MGI458760 MQE458759:MQE458760 NAA458759:NAA458760 NJW458759:NJW458760 NTS458759:NTS458760 ODO458759:ODO458760 ONK458759:ONK458760 OXG458759:OXG458760 PHC458759:PHC458760 PQY458759:PQY458760 QAU458759:QAU458760 QKQ458759:QKQ458760 QUM458759:QUM458760 REI458759:REI458760 ROE458759:ROE458760 RYA458759:RYA458760 SHW458759:SHW458760 SRS458759:SRS458760 TBO458759:TBO458760 TLK458759:TLK458760 TVG458759:TVG458760 UFC458759:UFC458760 UOY458759:UOY458760 UYU458759:UYU458760 VIQ458759:VIQ458760 VSM458759:VSM458760 WCI458759:WCI458760 WME458759:WME458760 WWA458759:WWA458760 S524295:S524296 JO524295:JO524296 TK524295:TK524296 ADG524295:ADG524296 ANC524295:ANC524296 AWY524295:AWY524296 BGU524295:BGU524296 BQQ524295:BQQ524296 CAM524295:CAM524296 CKI524295:CKI524296 CUE524295:CUE524296 DEA524295:DEA524296 DNW524295:DNW524296 DXS524295:DXS524296 EHO524295:EHO524296 ERK524295:ERK524296 FBG524295:FBG524296 FLC524295:FLC524296 FUY524295:FUY524296 GEU524295:GEU524296 GOQ524295:GOQ524296 GYM524295:GYM524296 HII524295:HII524296 HSE524295:HSE524296 ICA524295:ICA524296 ILW524295:ILW524296 IVS524295:IVS524296 JFO524295:JFO524296 JPK524295:JPK524296 JZG524295:JZG524296 KJC524295:KJC524296 KSY524295:KSY524296 LCU524295:LCU524296 LMQ524295:LMQ524296 LWM524295:LWM524296 MGI524295:MGI524296 MQE524295:MQE524296 NAA524295:NAA524296 NJW524295:NJW524296 NTS524295:NTS524296 ODO524295:ODO524296 ONK524295:ONK524296 OXG524295:OXG524296 PHC524295:PHC524296 PQY524295:PQY524296 QAU524295:QAU524296 QKQ524295:QKQ524296 QUM524295:QUM524296 REI524295:REI524296 ROE524295:ROE524296 RYA524295:RYA524296 SHW524295:SHW524296 SRS524295:SRS524296 TBO524295:TBO524296 TLK524295:TLK524296 TVG524295:TVG524296 UFC524295:UFC524296 UOY524295:UOY524296 UYU524295:UYU524296 VIQ524295:VIQ524296 VSM524295:VSM524296 WCI524295:WCI524296 WME524295:WME524296 WWA524295:WWA524296 S589831:S589832 JO589831:JO589832 TK589831:TK589832 ADG589831:ADG589832 ANC589831:ANC589832 AWY589831:AWY589832 BGU589831:BGU589832 BQQ589831:BQQ589832 CAM589831:CAM589832 CKI589831:CKI589832 CUE589831:CUE589832 DEA589831:DEA589832 DNW589831:DNW589832 DXS589831:DXS589832 EHO589831:EHO589832 ERK589831:ERK589832 FBG589831:FBG589832 FLC589831:FLC589832 FUY589831:FUY589832 GEU589831:GEU589832 GOQ589831:GOQ589832 GYM589831:GYM589832 HII589831:HII589832 HSE589831:HSE589832 ICA589831:ICA589832 ILW589831:ILW589832 IVS589831:IVS589832 JFO589831:JFO589832 JPK589831:JPK589832 JZG589831:JZG589832 KJC589831:KJC589832 KSY589831:KSY589832 LCU589831:LCU589832 LMQ589831:LMQ589832 LWM589831:LWM589832 MGI589831:MGI589832 MQE589831:MQE589832 NAA589831:NAA589832 NJW589831:NJW589832 NTS589831:NTS589832 ODO589831:ODO589832 ONK589831:ONK589832 OXG589831:OXG589832 PHC589831:PHC589832 PQY589831:PQY589832 QAU589831:QAU589832 QKQ589831:QKQ589832 QUM589831:QUM589832 REI589831:REI589832 ROE589831:ROE589832 RYA589831:RYA589832 SHW589831:SHW589832 SRS589831:SRS589832 TBO589831:TBO589832 TLK589831:TLK589832 TVG589831:TVG589832 UFC589831:UFC589832 UOY589831:UOY589832 UYU589831:UYU589832 VIQ589831:VIQ589832 VSM589831:VSM589832 WCI589831:WCI589832 WME589831:WME589832 WWA589831:WWA589832 S655367:S655368 JO655367:JO655368 TK655367:TK655368 ADG655367:ADG655368 ANC655367:ANC655368 AWY655367:AWY655368 BGU655367:BGU655368 BQQ655367:BQQ655368 CAM655367:CAM655368 CKI655367:CKI655368 CUE655367:CUE655368 DEA655367:DEA655368 DNW655367:DNW655368 DXS655367:DXS655368 EHO655367:EHO655368 ERK655367:ERK655368 FBG655367:FBG655368 FLC655367:FLC655368 FUY655367:FUY655368 GEU655367:GEU655368 GOQ655367:GOQ655368 GYM655367:GYM655368 HII655367:HII655368 HSE655367:HSE655368 ICA655367:ICA655368 ILW655367:ILW655368 IVS655367:IVS655368 JFO655367:JFO655368 JPK655367:JPK655368 JZG655367:JZG655368 KJC655367:KJC655368 KSY655367:KSY655368 LCU655367:LCU655368 LMQ655367:LMQ655368 LWM655367:LWM655368 MGI655367:MGI655368 MQE655367:MQE655368 NAA655367:NAA655368 NJW655367:NJW655368 NTS655367:NTS655368 ODO655367:ODO655368 ONK655367:ONK655368 OXG655367:OXG655368 PHC655367:PHC655368 PQY655367:PQY655368 QAU655367:QAU655368 QKQ655367:QKQ655368 QUM655367:QUM655368 REI655367:REI655368 ROE655367:ROE655368 RYA655367:RYA655368 SHW655367:SHW655368 SRS655367:SRS655368 TBO655367:TBO655368 TLK655367:TLK655368 TVG655367:TVG655368 UFC655367:UFC655368 UOY655367:UOY655368 UYU655367:UYU655368 VIQ655367:VIQ655368 VSM655367:VSM655368 WCI655367:WCI655368 WME655367:WME655368 WWA655367:WWA655368 S720903:S720904 JO720903:JO720904 TK720903:TK720904 ADG720903:ADG720904 ANC720903:ANC720904 AWY720903:AWY720904 BGU720903:BGU720904 BQQ720903:BQQ720904 CAM720903:CAM720904 CKI720903:CKI720904 CUE720903:CUE720904 DEA720903:DEA720904 DNW720903:DNW720904 DXS720903:DXS720904 EHO720903:EHO720904 ERK720903:ERK720904 FBG720903:FBG720904 FLC720903:FLC720904 FUY720903:FUY720904 GEU720903:GEU720904 GOQ720903:GOQ720904 GYM720903:GYM720904 HII720903:HII720904 HSE720903:HSE720904 ICA720903:ICA720904 ILW720903:ILW720904 IVS720903:IVS720904 JFO720903:JFO720904 JPK720903:JPK720904 JZG720903:JZG720904 KJC720903:KJC720904 KSY720903:KSY720904 LCU720903:LCU720904 LMQ720903:LMQ720904 LWM720903:LWM720904 MGI720903:MGI720904 MQE720903:MQE720904 NAA720903:NAA720904 NJW720903:NJW720904 NTS720903:NTS720904 ODO720903:ODO720904 ONK720903:ONK720904 OXG720903:OXG720904 PHC720903:PHC720904 PQY720903:PQY720904 QAU720903:QAU720904 QKQ720903:QKQ720904 QUM720903:QUM720904 REI720903:REI720904 ROE720903:ROE720904 RYA720903:RYA720904 SHW720903:SHW720904 SRS720903:SRS720904 TBO720903:TBO720904 TLK720903:TLK720904 TVG720903:TVG720904 UFC720903:UFC720904 UOY720903:UOY720904 UYU720903:UYU720904 VIQ720903:VIQ720904 VSM720903:VSM720904 WCI720903:WCI720904 WME720903:WME720904 WWA720903:WWA720904 S786439:S786440 JO786439:JO786440 TK786439:TK786440 ADG786439:ADG786440 ANC786439:ANC786440 AWY786439:AWY786440 BGU786439:BGU786440 BQQ786439:BQQ786440 CAM786439:CAM786440 CKI786439:CKI786440 CUE786439:CUE786440 DEA786439:DEA786440 DNW786439:DNW786440 DXS786439:DXS786440 EHO786439:EHO786440 ERK786439:ERK786440 FBG786439:FBG786440 FLC786439:FLC786440 FUY786439:FUY786440 GEU786439:GEU786440 GOQ786439:GOQ786440 GYM786439:GYM786440 HII786439:HII786440 HSE786439:HSE786440 ICA786439:ICA786440 ILW786439:ILW786440 IVS786439:IVS786440 JFO786439:JFO786440 JPK786439:JPK786440 JZG786439:JZG786440 KJC786439:KJC786440 KSY786439:KSY786440 LCU786439:LCU786440 LMQ786439:LMQ786440 LWM786439:LWM786440 MGI786439:MGI786440 MQE786439:MQE786440 NAA786439:NAA786440 NJW786439:NJW786440 NTS786439:NTS786440 ODO786439:ODO786440 ONK786439:ONK786440 OXG786439:OXG786440 PHC786439:PHC786440 PQY786439:PQY786440 QAU786439:QAU786440 QKQ786439:QKQ786440 QUM786439:QUM786440 REI786439:REI786440 ROE786439:ROE786440 RYA786439:RYA786440 SHW786439:SHW786440 SRS786439:SRS786440 TBO786439:TBO786440 TLK786439:TLK786440 TVG786439:TVG786440 UFC786439:UFC786440 UOY786439:UOY786440 UYU786439:UYU786440 VIQ786439:VIQ786440 VSM786439:VSM786440 WCI786439:WCI786440 WME786439:WME786440 WWA786439:WWA786440 S851975:S851976 JO851975:JO851976 TK851975:TK851976 ADG851975:ADG851976 ANC851975:ANC851976 AWY851975:AWY851976 BGU851975:BGU851976 BQQ851975:BQQ851976 CAM851975:CAM851976 CKI851975:CKI851976 CUE851975:CUE851976 DEA851975:DEA851976 DNW851975:DNW851976 DXS851975:DXS851976 EHO851975:EHO851976 ERK851975:ERK851976 FBG851975:FBG851976 FLC851975:FLC851976 FUY851975:FUY851976 GEU851975:GEU851976 GOQ851975:GOQ851976 GYM851975:GYM851976 HII851975:HII851976 HSE851975:HSE851976 ICA851975:ICA851976 ILW851975:ILW851976 IVS851975:IVS851976 JFO851975:JFO851976 JPK851975:JPK851976 JZG851975:JZG851976 KJC851975:KJC851976 KSY851975:KSY851976 LCU851975:LCU851976 LMQ851975:LMQ851976 LWM851975:LWM851976 MGI851975:MGI851976 MQE851975:MQE851976 NAA851975:NAA851976 NJW851975:NJW851976 NTS851975:NTS851976 ODO851975:ODO851976 ONK851975:ONK851976 OXG851975:OXG851976 PHC851975:PHC851976 PQY851975:PQY851976 QAU851975:QAU851976 QKQ851975:QKQ851976 QUM851975:QUM851976 REI851975:REI851976 ROE851975:ROE851976 RYA851975:RYA851976 SHW851975:SHW851976 SRS851975:SRS851976 TBO851975:TBO851976 TLK851975:TLK851976 TVG851975:TVG851976 UFC851975:UFC851976 UOY851975:UOY851976 UYU851975:UYU851976 VIQ851975:VIQ851976 VSM851975:VSM851976 WCI851975:WCI851976 WME851975:WME851976 WWA851975:WWA851976 S917511:S917512 JO917511:JO917512 TK917511:TK917512 ADG917511:ADG917512 ANC917511:ANC917512 AWY917511:AWY917512 BGU917511:BGU917512 BQQ917511:BQQ917512 CAM917511:CAM917512 CKI917511:CKI917512 CUE917511:CUE917512 DEA917511:DEA917512 DNW917511:DNW917512 DXS917511:DXS917512 EHO917511:EHO917512 ERK917511:ERK917512 FBG917511:FBG917512 FLC917511:FLC917512 FUY917511:FUY917512 GEU917511:GEU917512 GOQ917511:GOQ917512 GYM917511:GYM917512 HII917511:HII917512 HSE917511:HSE917512 ICA917511:ICA917512 ILW917511:ILW917512 IVS917511:IVS917512 JFO917511:JFO917512 JPK917511:JPK917512 JZG917511:JZG917512 KJC917511:KJC917512 KSY917511:KSY917512 LCU917511:LCU917512 LMQ917511:LMQ917512 LWM917511:LWM917512 MGI917511:MGI917512 MQE917511:MQE917512 NAA917511:NAA917512 NJW917511:NJW917512 NTS917511:NTS917512 ODO917511:ODO917512 ONK917511:ONK917512 OXG917511:OXG917512 PHC917511:PHC917512 PQY917511:PQY917512 QAU917511:QAU917512 QKQ917511:QKQ917512 QUM917511:QUM917512 REI917511:REI917512 ROE917511:ROE917512 RYA917511:RYA917512 SHW917511:SHW917512 SRS917511:SRS917512 TBO917511:TBO917512 TLK917511:TLK917512 TVG917511:TVG917512 UFC917511:UFC917512 UOY917511:UOY917512 UYU917511:UYU917512 VIQ917511:VIQ917512 VSM917511:VSM917512 WCI917511:WCI917512 WME917511:WME917512 WWA917511:WWA917512 S983047:S983048 JO983047:JO983048 TK983047:TK983048 ADG983047:ADG983048 ANC983047:ANC983048 AWY983047:AWY983048 BGU983047:BGU983048 BQQ983047:BQQ983048 CAM983047:CAM983048 CKI983047:CKI983048 CUE983047:CUE983048 DEA983047:DEA983048 DNW983047:DNW983048 DXS983047:DXS983048 EHO983047:EHO983048 ERK983047:ERK983048 FBG983047:FBG983048 FLC983047:FLC983048 FUY983047:FUY983048 GEU983047:GEU983048 GOQ983047:GOQ983048 GYM983047:GYM983048 HII983047:HII983048 HSE983047:HSE983048 ICA983047:ICA983048 ILW983047:ILW983048 IVS983047:IVS983048 JFO983047:JFO983048 JPK983047:JPK983048 JZG983047:JZG983048 KJC983047:KJC983048 KSY983047:KSY983048 LCU983047:LCU983048 LMQ983047:LMQ983048 LWM983047:LWM983048 MGI983047:MGI983048 MQE983047:MQE983048 NAA983047:NAA983048 NJW983047:NJW983048 NTS983047:NTS983048 ODO983047:ODO983048 ONK983047:ONK983048 OXG983047:OXG983048 PHC983047:PHC983048 PQY983047:PQY983048 QAU983047:QAU983048 QKQ983047:QKQ983048 QUM983047:QUM983048 REI983047:REI983048 ROE983047:ROE983048 RYA983047:RYA983048 SHW983047:SHW983048 SRS983047:SRS983048 TBO983047:TBO983048 TLK983047:TLK983048 TVG983047:TVG983048 UFC983047:UFC983048 UOY983047:UOY983048 UYU983047:UYU983048 VIQ983047:VIQ983048 VSM983047:VSM983048 WCI983047:WCI983048 WME983047:WME983048 WWA983047:WWA983048" xr:uid="{29148F85-D7D7-40BD-85D0-E0915DA95C4C}">
      <formula1>"% DT HT,% PV HT"</formula1>
    </dataValidation>
    <dataValidation type="list" allowBlank="1" showInputMessage="1" showErrorMessage="1" sqref="S8 JO6 TK6 ADG6 ANC6 AWY6 BGU6 BQQ6 CAM6 CKI6 CUE6 DEA6 DNW6 DXS6 EHO6 ERK6 FBG6 FLC6 FUY6 GEU6 GOQ6 GYM6 HII6 HSE6 ICA6 ILW6 IVS6 JFO6 JPK6 JZG6 KJC6 KSY6 LCU6 LMQ6 LWM6 MGI6 MQE6 NAA6 NJW6 NTS6 ODO6 ONK6 OXG6 PHC6 PQY6 QAU6 QKQ6 QUM6 REI6 ROE6 RYA6 SHW6 SRS6 TBO6 TLK6 TVG6 UFC6 UOY6 UYU6 VIQ6 VSM6 WCI6 WME6 WWA6 S65542 JO65542 TK65542 ADG65542 ANC65542 AWY65542 BGU65542 BQQ65542 CAM65542 CKI65542 CUE65542 DEA65542 DNW65542 DXS65542 EHO65542 ERK65542 FBG65542 FLC65542 FUY65542 GEU65542 GOQ65542 GYM65542 HII65542 HSE65542 ICA65542 ILW65542 IVS65542 JFO65542 JPK65542 JZG65542 KJC65542 KSY65542 LCU65542 LMQ65542 LWM65542 MGI65542 MQE65542 NAA65542 NJW65542 NTS65542 ODO65542 ONK65542 OXG65542 PHC65542 PQY65542 QAU65542 QKQ65542 QUM65542 REI65542 ROE65542 RYA65542 SHW65542 SRS65542 TBO65542 TLK65542 TVG65542 UFC65542 UOY65542 UYU65542 VIQ65542 VSM65542 WCI65542 WME65542 WWA65542 S131078 JO131078 TK131078 ADG131078 ANC131078 AWY131078 BGU131078 BQQ131078 CAM131078 CKI131078 CUE131078 DEA131078 DNW131078 DXS131078 EHO131078 ERK131078 FBG131078 FLC131078 FUY131078 GEU131078 GOQ131078 GYM131078 HII131078 HSE131078 ICA131078 ILW131078 IVS131078 JFO131078 JPK131078 JZG131078 KJC131078 KSY131078 LCU131078 LMQ131078 LWM131078 MGI131078 MQE131078 NAA131078 NJW131078 NTS131078 ODO131078 ONK131078 OXG131078 PHC131078 PQY131078 QAU131078 QKQ131078 QUM131078 REI131078 ROE131078 RYA131078 SHW131078 SRS131078 TBO131078 TLK131078 TVG131078 UFC131078 UOY131078 UYU131078 VIQ131078 VSM131078 WCI131078 WME131078 WWA131078 S196614 JO196614 TK196614 ADG196614 ANC196614 AWY196614 BGU196614 BQQ196614 CAM196614 CKI196614 CUE196614 DEA196614 DNW196614 DXS196614 EHO196614 ERK196614 FBG196614 FLC196614 FUY196614 GEU196614 GOQ196614 GYM196614 HII196614 HSE196614 ICA196614 ILW196614 IVS196614 JFO196614 JPK196614 JZG196614 KJC196614 KSY196614 LCU196614 LMQ196614 LWM196614 MGI196614 MQE196614 NAA196614 NJW196614 NTS196614 ODO196614 ONK196614 OXG196614 PHC196614 PQY196614 QAU196614 QKQ196614 QUM196614 REI196614 ROE196614 RYA196614 SHW196614 SRS196614 TBO196614 TLK196614 TVG196614 UFC196614 UOY196614 UYU196614 VIQ196614 VSM196614 WCI196614 WME196614 WWA196614 S262150 JO262150 TK262150 ADG262150 ANC262150 AWY262150 BGU262150 BQQ262150 CAM262150 CKI262150 CUE262150 DEA262150 DNW262150 DXS262150 EHO262150 ERK262150 FBG262150 FLC262150 FUY262150 GEU262150 GOQ262150 GYM262150 HII262150 HSE262150 ICA262150 ILW262150 IVS262150 JFO262150 JPK262150 JZG262150 KJC262150 KSY262150 LCU262150 LMQ262150 LWM262150 MGI262150 MQE262150 NAA262150 NJW262150 NTS262150 ODO262150 ONK262150 OXG262150 PHC262150 PQY262150 QAU262150 QKQ262150 QUM262150 REI262150 ROE262150 RYA262150 SHW262150 SRS262150 TBO262150 TLK262150 TVG262150 UFC262150 UOY262150 UYU262150 VIQ262150 VSM262150 WCI262150 WME262150 WWA262150 S327686 JO327686 TK327686 ADG327686 ANC327686 AWY327686 BGU327686 BQQ327686 CAM327686 CKI327686 CUE327686 DEA327686 DNW327686 DXS327686 EHO327686 ERK327686 FBG327686 FLC327686 FUY327686 GEU327686 GOQ327686 GYM327686 HII327686 HSE327686 ICA327686 ILW327686 IVS327686 JFO327686 JPK327686 JZG327686 KJC327686 KSY327686 LCU327686 LMQ327686 LWM327686 MGI327686 MQE327686 NAA327686 NJW327686 NTS327686 ODO327686 ONK327686 OXG327686 PHC327686 PQY327686 QAU327686 QKQ327686 QUM327686 REI327686 ROE327686 RYA327686 SHW327686 SRS327686 TBO327686 TLK327686 TVG327686 UFC327686 UOY327686 UYU327686 VIQ327686 VSM327686 WCI327686 WME327686 WWA327686 S393222 JO393222 TK393222 ADG393222 ANC393222 AWY393222 BGU393222 BQQ393222 CAM393222 CKI393222 CUE393222 DEA393222 DNW393222 DXS393222 EHO393222 ERK393222 FBG393222 FLC393222 FUY393222 GEU393222 GOQ393222 GYM393222 HII393222 HSE393222 ICA393222 ILW393222 IVS393222 JFO393222 JPK393222 JZG393222 KJC393222 KSY393222 LCU393222 LMQ393222 LWM393222 MGI393222 MQE393222 NAA393222 NJW393222 NTS393222 ODO393222 ONK393222 OXG393222 PHC393222 PQY393222 QAU393222 QKQ393222 QUM393222 REI393222 ROE393222 RYA393222 SHW393222 SRS393222 TBO393222 TLK393222 TVG393222 UFC393222 UOY393222 UYU393222 VIQ393222 VSM393222 WCI393222 WME393222 WWA393222 S458758 JO458758 TK458758 ADG458758 ANC458758 AWY458758 BGU458758 BQQ458758 CAM458758 CKI458758 CUE458758 DEA458758 DNW458758 DXS458758 EHO458758 ERK458758 FBG458758 FLC458758 FUY458758 GEU458758 GOQ458758 GYM458758 HII458758 HSE458758 ICA458758 ILW458758 IVS458758 JFO458758 JPK458758 JZG458758 KJC458758 KSY458758 LCU458758 LMQ458758 LWM458758 MGI458758 MQE458758 NAA458758 NJW458758 NTS458758 ODO458758 ONK458758 OXG458758 PHC458758 PQY458758 QAU458758 QKQ458758 QUM458758 REI458758 ROE458758 RYA458758 SHW458758 SRS458758 TBO458758 TLK458758 TVG458758 UFC458758 UOY458758 UYU458758 VIQ458758 VSM458758 WCI458758 WME458758 WWA458758 S524294 JO524294 TK524294 ADG524294 ANC524294 AWY524294 BGU524294 BQQ524294 CAM524294 CKI524294 CUE524294 DEA524294 DNW524294 DXS524294 EHO524294 ERK524294 FBG524294 FLC524294 FUY524294 GEU524294 GOQ524294 GYM524294 HII524294 HSE524294 ICA524294 ILW524294 IVS524294 JFO524294 JPK524294 JZG524294 KJC524294 KSY524294 LCU524294 LMQ524294 LWM524294 MGI524294 MQE524294 NAA524294 NJW524294 NTS524294 ODO524294 ONK524294 OXG524294 PHC524294 PQY524294 QAU524294 QKQ524294 QUM524294 REI524294 ROE524294 RYA524294 SHW524294 SRS524294 TBO524294 TLK524294 TVG524294 UFC524294 UOY524294 UYU524294 VIQ524294 VSM524294 WCI524294 WME524294 WWA524294 S589830 JO589830 TK589830 ADG589830 ANC589830 AWY589830 BGU589830 BQQ589830 CAM589830 CKI589830 CUE589830 DEA589830 DNW589830 DXS589830 EHO589830 ERK589830 FBG589830 FLC589830 FUY589830 GEU589830 GOQ589830 GYM589830 HII589830 HSE589830 ICA589830 ILW589830 IVS589830 JFO589830 JPK589830 JZG589830 KJC589830 KSY589830 LCU589830 LMQ589830 LWM589830 MGI589830 MQE589830 NAA589830 NJW589830 NTS589830 ODO589830 ONK589830 OXG589830 PHC589830 PQY589830 QAU589830 QKQ589830 QUM589830 REI589830 ROE589830 RYA589830 SHW589830 SRS589830 TBO589830 TLK589830 TVG589830 UFC589830 UOY589830 UYU589830 VIQ589830 VSM589830 WCI589830 WME589830 WWA589830 S655366 JO655366 TK655366 ADG655366 ANC655366 AWY655366 BGU655366 BQQ655366 CAM655366 CKI655366 CUE655366 DEA655366 DNW655366 DXS655366 EHO655366 ERK655366 FBG655366 FLC655366 FUY655366 GEU655366 GOQ655366 GYM655366 HII655366 HSE655366 ICA655366 ILW655366 IVS655366 JFO655366 JPK655366 JZG655366 KJC655366 KSY655366 LCU655366 LMQ655366 LWM655366 MGI655366 MQE655366 NAA655366 NJW655366 NTS655366 ODO655366 ONK655366 OXG655366 PHC655366 PQY655366 QAU655366 QKQ655366 QUM655366 REI655366 ROE655366 RYA655366 SHW655366 SRS655366 TBO655366 TLK655366 TVG655366 UFC655366 UOY655366 UYU655366 VIQ655366 VSM655366 WCI655366 WME655366 WWA655366 S720902 JO720902 TK720902 ADG720902 ANC720902 AWY720902 BGU720902 BQQ720902 CAM720902 CKI720902 CUE720902 DEA720902 DNW720902 DXS720902 EHO720902 ERK720902 FBG720902 FLC720902 FUY720902 GEU720902 GOQ720902 GYM720902 HII720902 HSE720902 ICA720902 ILW720902 IVS720902 JFO720902 JPK720902 JZG720902 KJC720902 KSY720902 LCU720902 LMQ720902 LWM720902 MGI720902 MQE720902 NAA720902 NJW720902 NTS720902 ODO720902 ONK720902 OXG720902 PHC720902 PQY720902 QAU720902 QKQ720902 QUM720902 REI720902 ROE720902 RYA720902 SHW720902 SRS720902 TBO720902 TLK720902 TVG720902 UFC720902 UOY720902 UYU720902 VIQ720902 VSM720902 WCI720902 WME720902 WWA720902 S786438 JO786438 TK786438 ADG786438 ANC786438 AWY786438 BGU786438 BQQ786438 CAM786438 CKI786438 CUE786438 DEA786438 DNW786438 DXS786438 EHO786438 ERK786438 FBG786438 FLC786438 FUY786438 GEU786438 GOQ786438 GYM786438 HII786438 HSE786438 ICA786438 ILW786438 IVS786438 JFO786438 JPK786438 JZG786438 KJC786438 KSY786438 LCU786438 LMQ786438 LWM786438 MGI786438 MQE786438 NAA786438 NJW786438 NTS786438 ODO786438 ONK786438 OXG786438 PHC786438 PQY786438 QAU786438 QKQ786438 QUM786438 REI786438 ROE786438 RYA786438 SHW786438 SRS786438 TBO786438 TLK786438 TVG786438 UFC786438 UOY786438 UYU786438 VIQ786438 VSM786438 WCI786438 WME786438 WWA786438 S851974 JO851974 TK851974 ADG851974 ANC851974 AWY851974 BGU851974 BQQ851974 CAM851974 CKI851974 CUE851974 DEA851974 DNW851974 DXS851974 EHO851974 ERK851974 FBG851974 FLC851974 FUY851974 GEU851974 GOQ851974 GYM851974 HII851974 HSE851974 ICA851974 ILW851974 IVS851974 JFO851974 JPK851974 JZG851974 KJC851974 KSY851974 LCU851974 LMQ851974 LWM851974 MGI851974 MQE851974 NAA851974 NJW851974 NTS851974 ODO851974 ONK851974 OXG851974 PHC851974 PQY851974 QAU851974 QKQ851974 QUM851974 REI851974 ROE851974 RYA851974 SHW851974 SRS851974 TBO851974 TLK851974 TVG851974 UFC851974 UOY851974 UYU851974 VIQ851974 VSM851974 WCI851974 WME851974 WWA851974 S917510 JO917510 TK917510 ADG917510 ANC917510 AWY917510 BGU917510 BQQ917510 CAM917510 CKI917510 CUE917510 DEA917510 DNW917510 DXS917510 EHO917510 ERK917510 FBG917510 FLC917510 FUY917510 GEU917510 GOQ917510 GYM917510 HII917510 HSE917510 ICA917510 ILW917510 IVS917510 JFO917510 JPK917510 JZG917510 KJC917510 KSY917510 LCU917510 LMQ917510 LWM917510 MGI917510 MQE917510 NAA917510 NJW917510 NTS917510 ODO917510 ONK917510 OXG917510 PHC917510 PQY917510 QAU917510 QKQ917510 QUM917510 REI917510 ROE917510 RYA917510 SHW917510 SRS917510 TBO917510 TLK917510 TVG917510 UFC917510 UOY917510 UYU917510 VIQ917510 VSM917510 WCI917510 WME917510 WWA917510 S983046 JO983046 TK983046 ADG983046 ANC983046 AWY983046 BGU983046 BQQ983046 CAM983046 CKI983046 CUE983046 DEA983046 DNW983046 DXS983046 EHO983046 ERK983046 FBG983046 FLC983046 FUY983046 GEU983046 GOQ983046 GYM983046 HII983046 HSE983046 ICA983046 ILW983046 IVS983046 JFO983046 JPK983046 JZG983046 KJC983046 KSY983046 LCU983046 LMQ983046 LWM983046 MGI983046 MQE983046 NAA983046 NJW983046 NTS983046 ODO983046 ONK983046 OXG983046 PHC983046 PQY983046 QAU983046 QKQ983046 QUM983046 REI983046 ROE983046 RYA983046 SHW983046 SRS983046 TBO983046 TLK983046 TVG983046 UFC983046 UOY983046 UYU983046 VIQ983046 VSM983046 WCI983046 WME983046 WWA983046" xr:uid="{C4CF4CE3-01D5-401B-A657-CFEB8CC20843}">
      <formula1>",% DT HT,% PV HT"</formula1>
    </dataValidation>
    <dataValidation type="list" allowBlank="1" showInputMessage="1" showErrorMessage="1" sqref="R29 IZ39 SV39 ACR39 AMN39 AWJ39 BGF39 BQB39 BZX39 CJT39 CTP39 DDL39 DNH39 DXD39 EGZ39 EQV39 FAR39 FKN39 FUJ39 GEF39 GOB39 GXX39 HHT39 HRP39 IBL39 ILH39 IVD39 JEZ39 JOV39 JYR39 KIN39 KSJ39 LCF39 LMB39 LVX39 MFT39 MPP39 MZL39 NJH39 NTD39 OCZ39 OMV39 OWR39 PGN39 PQJ39 QAF39 QKB39 QTX39 RDT39 RNP39 RXL39 SHH39 SRD39 TAZ39 TKV39 TUR39 UEN39 UOJ39 UYF39 VIB39 VRX39 WBT39 WLP39 WVL39 E65575 IZ65575 SV65575 ACR65575 AMN65575 AWJ65575 BGF65575 BQB65575 BZX65575 CJT65575 CTP65575 DDL65575 DNH65575 DXD65575 EGZ65575 EQV65575 FAR65575 FKN65575 FUJ65575 GEF65575 GOB65575 GXX65575 HHT65575 HRP65575 IBL65575 ILH65575 IVD65575 JEZ65575 JOV65575 JYR65575 KIN65575 KSJ65575 LCF65575 LMB65575 LVX65575 MFT65575 MPP65575 MZL65575 NJH65575 NTD65575 OCZ65575 OMV65575 OWR65575 PGN65575 PQJ65575 QAF65575 QKB65575 QTX65575 RDT65575 RNP65575 RXL65575 SHH65575 SRD65575 TAZ65575 TKV65575 TUR65575 UEN65575 UOJ65575 UYF65575 VIB65575 VRX65575 WBT65575 WLP65575 WVL65575 E131111 IZ131111 SV131111 ACR131111 AMN131111 AWJ131111 BGF131111 BQB131111 BZX131111 CJT131111 CTP131111 DDL131111 DNH131111 DXD131111 EGZ131111 EQV131111 FAR131111 FKN131111 FUJ131111 GEF131111 GOB131111 GXX131111 HHT131111 HRP131111 IBL131111 ILH131111 IVD131111 JEZ131111 JOV131111 JYR131111 KIN131111 KSJ131111 LCF131111 LMB131111 LVX131111 MFT131111 MPP131111 MZL131111 NJH131111 NTD131111 OCZ131111 OMV131111 OWR131111 PGN131111 PQJ131111 QAF131111 QKB131111 QTX131111 RDT131111 RNP131111 RXL131111 SHH131111 SRD131111 TAZ131111 TKV131111 TUR131111 UEN131111 UOJ131111 UYF131111 VIB131111 VRX131111 WBT131111 WLP131111 WVL131111 E196647 IZ196647 SV196647 ACR196647 AMN196647 AWJ196647 BGF196647 BQB196647 BZX196647 CJT196647 CTP196647 DDL196647 DNH196647 DXD196647 EGZ196647 EQV196647 FAR196647 FKN196647 FUJ196647 GEF196647 GOB196647 GXX196647 HHT196647 HRP196647 IBL196647 ILH196647 IVD196647 JEZ196647 JOV196647 JYR196647 KIN196647 KSJ196647 LCF196647 LMB196647 LVX196647 MFT196647 MPP196647 MZL196647 NJH196647 NTD196647 OCZ196647 OMV196647 OWR196647 PGN196647 PQJ196647 QAF196647 QKB196647 QTX196647 RDT196647 RNP196647 RXL196647 SHH196647 SRD196647 TAZ196647 TKV196647 TUR196647 UEN196647 UOJ196647 UYF196647 VIB196647 VRX196647 WBT196647 WLP196647 WVL196647 E262183 IZ262183 SV262183 ACR262183 AMN262183 AWJ262183 BGF262183 BQB262183 BZX262183 CJT262183 CTP262183 DDL262183 DNH262183 DXD262183 EGZ262183 EQV262183 FAR262183 FKN262183 FUJ262183 GEF262183 GOB262183 GXX262183 HHT262183 HRP262183 IBL262183 ILH262183 IVD262183 JEZ262183 JOV262183 JYR262183 KIN262183 KSJ262183 LCF262183 LMB262183 LVX262183 MFT262183 MPP262183 MZL262183 NJH262183 NTD262183 OCZ262183 OMV262183 OWR262183 PGN262183 PQJ262183 QAF262183 QKB262183 QTX262183 RDT262183 RNP262183 RXL262183 SHH262183 SRD262183 TAZ262183 TKV262183 TUR262183 UEN262183 UOJ262183 UYF262183 VIB262183 VRX262183 WBT262183 WLP262183 WVL262183 E327719 IZ327719 SV327719 ACR327719 AMN327719 AWJ327719 BGF327719 BQB327719 BZX327719 CJT327719 CTP327719 DDL327719 DNH327719 DXD327719 EGZ327719 EQV327719 FAR327719 FKN327719 FUJ327719 GEF327719 GOB327719 GXX327719 HHT327719 HRP327719 IBL327719 ILH327719 IVD327719 JEZ327719 JOV327719 JYR327719 KIN327719 KSJ327719 LCF327719 LMB327719 LVX327719 MFT327719 MPP327719 MZL327719 NJH327719 NTD327719 OCZ327719 OMV327719 OWR327719 PGN327719 PQJ327719 QAF327719 QKB327719 QTX327719 RDT327719 RNP327719 RXL327719 SHH327719 SRD327719 TAZ327719 TKV327719 TUR327719 UEN327719 UOJ327719 UYF327719 VIB327719 VRX327719 WBT327719 WLP327719 WVL327719 E393255 IZ393255 SV393255 ACR393255 AMN393255 AWJ393255 BGF393255 BQB393255 BZX393255 CJT393255 CTP393255 DDL393255 DNH393255 DXD393255 EGZ393255 EQV393255 FAR393255 FKN393255 FUJ393255 GEF393255 GOB393255 GXX393255 HHT393255 HRP393255 IBL393255 ILH393255 IVD393255 JEZ393255 JOV393255 JYR393255 KIN393255 KSJ393255 LCF393255 LMB393255 LVX393255 MFT393255 MPP393255 MZL393255 NJH393255 NTD393255 OCZ393255 OMV393255 OWR393255 PGN393255 PQJ393255 QAF393255 QKB393255 QTX393255 RDT393255 RNP393255 RXL393255 SHH393255 SRD393255 TAZ393255 TKV393255 TUR393255 UEN393255 UOJ393255 UYF393255 VIB393255 VRX393255 WBT393255 WLP393255 WVL393255 E458791 IZ458791 SV458791 ACR458791 AMN458791 AWJ458791 BGF458791 BQB458791 BZX458791 CJT458791 CTP458791 DDL458791 DNH458791 DXD458791 EGZ458791 EQV458791 FAR458791 FKN458791 FUJ458791 GEF458791 GOB458791 GXX458791 HHT458791 HRP458791 IBL458791 ILH458791 IVD458791 JEZ458791 JOV458791 JYR458791 KIN458791 KSJ458791 LCF458791 LMB458791 LVX458791 MFT458791 MPP458791 MZL458791 NJH458791 NTD458791 OCZ458791 OMV458791 OWR458791 PGN458791 PQJ458791 QAF458791 QKB458791 QTX458791 RDT458791 RNP458791 RXL458791 SHH458791 SRD458791 TAZ458791 TKV458791 TUR458791 UEN458791 UOJ458791 UYF458791 VIB458791 VRX458791 WBT458791 WLP458791 WVL458791 E524327 IZ524327 SV524327 ACR524327 AMN524327 AWJ524327 BGF524327 BQB524327 BZX524327 CJT524327 CTP524327 DDL524327 DNH524327 DXD524327 EGZ524327 EQV524327 FAR524327 FKN524327 FUJ524327 GEF524327 GOB524327 GXX524327 HHT524327 HRP524327 IBL524327 ILH524327 IVD524327 JEZ524327 JOV524327 JYR524327 KIN524327 KSJ524327 LCF524327 LMB524327 LVX524327 MFT524327 MPP524327 MZL524327 NJH524327 NTD524327 OCZ524327 OMV524327 OWR524327 PGN524327 PQJ524327 QAF524327 QKB524327 QTX524327 RDT524327 RNP524327 RXL524327 SHH524327 SRD524327 TAZ524327 TKV524327 TUR524327 UEN524327 UOJ524327 UYF524327 VIB524327 VRX524327 WBT524327 WLP524327 WVL524327 E589863 IZ589863 SV589863 ACR589863 AMN589863 AWJ589863 BGF589863 BQB589863 BZX589863 CJT589863 CTP589863 DDL589863 DNH589863 DXD589863 EGZ589863 EQV589863 FAR589863 FKN589863 FUJ589863 GEF589863 GOB589863 GXX589863 HHT589863 HRP589863 IBL589863 ILH589863 IVD589863 JEZ589863 JOV589863 JYR589863 KIN589863 KSJ589863 LCF589863 LMB589863 LVX589863 MFT589863 MPP589863 MZL589863 NJH589863 NTD589863 OCZ589863 OMV589863 OWR589863 PGN589863 PQJ589863 QAF589863 QKB589863 QTX589863 RDT589863 RNP589863 RXL589863 SHH589863 SRD589863 TAZ589863 TKV589863 TUR589863 UEN589863 UOJ589863 UYF589863 VIB589863 VRX589863 WBT589863 WLP589863 WVL589863 E655399 IZ655399 SV655399 ACR655399 AMN655399 AWJ655399 BGF655399 BQB655399 BZX655399 CJT655399 CTP655399 DDL655399 DNH655399 DXD655399 EGZ655399 EQV655399 FAR655399 FKN655399 FUJ655399 GEF655399 GOB655399 GXX655399 HHT655399 HRP655399 IBL655399 ILH655399 IVD655399 JEZ655399 JOV655399 JYR655399 KIN655399 KSJ655399 LCF655399 LMB655399 LVX655399 MFT655399 MPP655399 MZL655399 NJH655399 NTD655399 OCZ655399 OMV655399 OWR655399 PGN655399 PQJ655399 QAF655399 QKB655399 QTX655399 RDT655399 RNP655399 RXL655399 SHH655399 SRD655399 TAZ655399 TKV655399 TUR655399 UEN655399 UOJ655399 UYF655399 VIB655399 VRX655399 WBT655399 WLP655399 WVL655399 E720935 IZ720935 SV720935 ACR720935 AMN720935 AWJ720935 BGF720935 BQB720935 BZX720935 CJT720935 CTP720935 DDL720935 DNH720935 DXD720935 EGZ720935 EQV720935 FAR720935 FKN720935 FUJ720935 GEF720935 GOB720935 GXX720935 HHT720935 HRP720935 IBL720935 ILH720935 IVD720935 JEZ720935 JOV720935 JYR720935 KIN720935 KSJ720935 LCF720935 LMB720935 LVX720935 MFT720935 MPP720935 MZL720935 NJH720935 NTD720935 OCZ720935 OMV720935 OWR720935 PGN720935 PQJ720935 QAF720935 QKB720935 QTX720935 RDT720935 RNP720935 RXL720935 SHH720935 SRD720935 TAZ720935 TKV720935 TUR720935 UEN720935 UOJ720935 UYF720935 VIB720935 VRX720935 WBT720935 WLP720935 WVL720935 E786471 IZ786471 SV786471 ACR786471 AMN786471 AWJ786471 BGF786471 BQB786471 BZX786471 CJT786471 CTP786471 DDL786471 DNH786471 DXD786471 EGZ786471 EQV786471 FAR786471 FKN786471 FUJ786471 GEF786471 GOB786471 GXX786471 HHT786471 HRP786471 IBL786471 ILH786471 IVD786471 JEZ786471 JOV786471 JYR786471 KIN786471 KSJ786471 LCF786471 LMB786471 LVX786471 MFT786471 MPP786471 MZL786471 NJH786471 NTD786471 OCZ786471 OMV786471 OWR786471 PGN786471 PQJ786471 QAF786471 QKB786471 QTX786471 RDT786471 RNP786471 RXL786471 SHH786471 SRD786471 TAZ786471 TKV786471 TUR786471 UEN786471 UOJ786471 UYF786471 VIB786471 VRX786471 WBT786471 WLP786471 WVL786471 E852007 IZ852007 SV852007 ACR852007 AMN852007 AWJ852007 BGF852007 BQB852007 BZX852007 CJT852007 CTP852007 DDL852007 DNH852007 DXD852007 EGZ852007 EQV852007 FAR852007 FKN852007 FUJ852007 GEF852007 GOB852007 GXX852007 HHT852007 HRP852007 IBL852007 ILH852007 IVD852007 JEZ852007 JOV852007 JYR852007 KIN852007 KSJ852007 LCF852007 LMB852007 LVX852007 MFT852007 MPP852007 MZL852007 NJH852007 NTD852007 OCZ852007 OMV852007 OWR852007 PGN852007 PQJ852007 QAF852007 QKB852007 QTX852007 RDT852007 RNP852007 RXL852007 SHH852007 SRD852007 TAZ852007 TKV852007 TUR852007 UEN852007 UOJ852007 UYF852007 VIB852007 VRX852007 WBT852007 WLP852007 WVL852007 E917543 IZ917543 SV917543 ACR917543 AMN917543 AWJ917543 BGF917543 BQB917543 BZX917543 CJT917543 CTP917543 DDL917543 DNH917543 DXD917543 EGZ917543 EQV917543 FAR917543 FKN917543 FUJ917543 GEF917543 GOB917543 GXX917543 HHT917543 HRP917543 IBL917543 ILH917543 IVD917543 JEZ917543 JOV917543 JYR917543 KIN917543 KSJ917543 LCF917543 LMB917543 LVX917543 MFT917543 MPP917543 MZL917543 NJH917543 NTD917543 OCZ917543 OMV917543 OWR917543 PGN917543 PQJ917543 QAF917543 QKB917543 QTX917543 RDT917543 RNP917543 RXL917543 SHH917543 SRD917543 TAZ917543 TKV917543 TUR917543 UEN917543 UOJ917543 UYF917543 VIB917543 VRX917543 WBT917543 WLP917543 WVL917543 E983079 IZ983079 SV983079 ACR983079 AMN983079 AWJ983079 BGF983079 BQB983079 BZX983079 CJT983079 CTP983079 DDL983079 DNH983079 DXD983079 EGZ983079 EQV983079 FAR983079 FKN983079 FUJ983079 GEF983079 GOB983079 GXX983079 HHT983079 HRP983079 IBL983079 ILH983079 IVD983079 JEZ983079 JOV983079 JYR983079 KIN983079 KSJ983079 LCF983079 LMB983079 LVX983079 MFT983079 MPP983079 MZL983079 NJH983079 NTD983079 OCZ983079 OMV983079 OWR983079 PGN983079 PQJ983079 QAF983079 QKB983079 QTX983079 RDT983079 RNP983079 RXL983079 SHH983079 SRD983079 TAZ983079 TKV983079 TUR983079 UEN983079 UOJ983079 UYF983079 VIB983079 VRX983079 WBT983079 WLP983079 WVL983079" xr:uid="{3AAEC643-A23E-46E3-BD39-9197CE607C1D}">
      <formula1>"A,B,C,D²"</formula1>
    </dataValidation>
    <dataValidation type="list" allowBlank="1" showInputMessage="1" showErrorMessage="1" sqref="S20:S27 JO20:JO27 TK20:TK27 ADG20:ADG27 ANC20:ANC27 AWY20:AWY27 BGU20:BGU27 BQQ20:BQQ27 CAM20:CAM27 CKI20:CKI27 CUE20:CUE27 DEA20:DEA27 DNW20:DNW27 DXS20:DXS27 EHO20:EHO27 ERK20:ERK27 FBG20:FBG27 FLC20:FLC27 FUY20:FUY27 GEU20:GEU27 GOQ20:GOQ27 GYM20:GYM27 HII20:HII27 HSE20:HSE27 ICA20:ICA27 ILW20:ILW27 IVS20:IVS27 JFO20:JFO27 JPK20:JPK27 JZG20:JZG27 KJC20:KJC27 KSY20:KSY27 LCU20:LCU27 LMQ20:LMQ27 LWM20:LWM27 MGI20:MGI27 MQE20:MQE27 NAA20:NAA27 NJW20:NJW27 NTS20:NTS27 ODO20:ODO27 ONK20:ONK27 OXG20:OXG27 PHC20:PHC27 PQY20:PQY27 QAU20:QAU27 QKQ20:QKQ27 QUM20:QUM27 REI20:REI27 ROE20:ROE27 RYA20:RYA27 SHW20:SHW27 SRS20:SRS27 TBO20:TBO27 TLK20:TLK27 TVG20:TVG27 UFC20:UFC27 UOY20:UOY27 UYU20:UYU27 VIQ20:VIQ27 VSM20:VSM27 WCI20:WCI27 WME20:WME27 WWA20:WWA27 S65556:S65563 JO65556:JO65563 TK65556:TK65563 ADG65556:ADG65563 ANC65556:ANC65563 AWY65556:AWY65563 BGU65556:BGU65563 BQQ65556:BQQ65563 CAM65556:CAM65563 CKI65556:CKI65563 CUE65556:CUE65563 DEA65556:DEA65563 DNW65556:DNW65563 DXS65556:DXS65563 EHO65556:EHO65563 ERK65556:ERK65563 FBG65556:FBG65563 FLC65556:FLC65563 FUY65556:FUY65563 GEU65556:GEU65563 GOQ65556:GOQ65563 GYM65556:GYM65563 HII65556:HII65563 HSE65556:HSE65563 ICA65556:ICA65563 ILW65556:ILW65563 IVS65556:IVS65563 JFO65556:JFO65563 JPK65556:JPK65563 JZG65556:JZG65563 KJC65556:KJC65563 KSY65556:KSY65563 LCU65556:LCU65563 LMQ65556:LMQ65563 LWM65556:LWM65563 MGI65556:MGI65563 MQE65556:MQE65563 NAA65556:NAA65563 NJW65556:NJW65563 NTS65556:NTS65563 ODO65556:ODO65563 ONK65556:ONK65563 OXG65556:OXG65563 PHC65556:PHC65563 PQY65556:PQY65563 QAU65556:QAU65563 QKQ65556:QKQ65563 QUM65556:QUM65563 REI65556:REI65563 ROE65556:ROE65563 RYA65556:RYA65563 SHW65556:SHW65563 SRS65556:SRS65563 TBO65556:TBO65563 TLK65556:TLK65563 TVG65556:TVG65563 UFC65556:UFC65563 UOY65556:UOY65563 UYU65556:UYU65563 VIQ65556:VIQ65563 VSM65556:VSM65563 WCI65556:WCI65563 WME65556:WME65563 WWA65556:WWA65563 S131092:S131099 JO131092:JO131099 TK131092:TK131099 ADG131092:ADG131099 ANC131092:ANC131099 AWY131092:AWY131099 BGU131092:BGU131099 BQQ131092:BQQ131099 CAM131092:CAM131099 CKI131092:CKI131099 CUE131092:CUE131099 DEA131092:DEA131099 DNW131092:DNW131099 DXS131092:DXS131099 EHO131092:EHO131099 ERK131092:ERK131099 FBG131092:FBG131099 FLC131092:FLC131099 FUY131092:FUY131099 GEU131092:GEU131099 GOQ131092:GOQ131099 GYM131092:GYM131099 HII131092:HII131099 HSE131092:HSE131099 ICA131092:ICA131099 ILW131092:ILW131099 IVS131092:IVS131099 JFO131092:JFO131099 JPK131092:JPK131099 JZG131092:JZG131099 KJC131092:KJC131099 KSY131092:KSY131099 LCU131092:LCU131099 LMQ131092:LMQ131099 LWM131092:LWM131099 MGI131092:MGI131099 MQE131092:MQE131099 NAA131092:NAA131099 NJW131092:NJW131099 NTS131092:NTS131099 ODO131092:ODO131099 ONK131092:ONK131099 OXG131092:OXG131099 PHC131092:PHC131099 PQY131092:PQY131099 QAU131092:QAU131099 QKQ131092:QKQ131099 QUM131092:QUM131099 REI131092:REI131099 ROE131092:ROE131099 RYA131092:RYA131099 SHW131092:SHW131099 SRS131092:SRS131099 TBO131092:TBO131099 TLK131092:TLK131099 TVG131092:TVG131099 UFC131092:UFC131099 UOY131092:UOY131099 UYU131092:UYU131099 VIQ131092:VIQ131099 VSM131092:VSM131099 WCI131092:WCI131099 WME131092:WME131099 WWA131092:WWA131099 S196628:S196635 JO196628:JO196635 TK196628:TK196635 ADG196628:ADG196635 ANC196628:ANC196635 AWY196628:AWY196635 BGU196628:BGU196635 BQQ196628:BQQ196635 CAM196628:CAM196635 CKI196628:CKI196635 CUE196628:CUE196635 DEA196628:DEA196635 DNW196628:DNW196635 DXS196628:DXS196635 EHO196628:EHO196635 ERK196628:ERK196635 FBG196628:FBG196635 FLC196628:FLC196635 FUY196628:FUY196635 GEU196628:GEU196635 GOQ196628:GOQ196635 GYM196628:GYM196635 HII196628:HII196635 HSE196628:HSE196635 ICA196628:ICA196635 ILW196628:ILW196635 IVS196628:IVS196635 JFO196628:JFO196635 JPK196628:JPK196635 JZG196628:JZG196635 KJC196628:KJC196635 KSY196628:KSY196635 LCU196628:LCU196635 LMQ196628:LMQ196635 LWM196628:LWM196635 MGI196628:MGI196635 MQE196628:MQE196635 NAA196628:NAA196635 NJW196628:NJW196635 NTS196628:NTS196635 ODO196628:ODO196635 ONK196628:ONK196635 OXG196628:OXG196635 PHC196628:PHC196635 PQY196628:PQY196635 QAU196628:QAU196635 QKQ196628:QKQ196635 QUM196628:QUM196635 REI196628:REI196635 ROE196628:ROE196635 RYA196628:RYA196635 SHW196628:SHW196635 SRS196628:SRS196635 TBO196628:TBO196635 TLK196628:TLK196635 TVG196628:TVG196635 UFC196628:UFC196635 UOY196628:UOY196635 UYU196628:UYU196635 VIQ196628:VIQ196635 VSM196628:VSM196635 WCI196628:WCI196635 WME196628:WME196635 WWA196628:WWA196635 S262164:S262171 JO262164:JO262171 TK262164:TK262171 ADG262164:ADG262171 ANC262164:ANC262171 AWY262164:AWY262171 BGU262164:BGU262171 BQQ262164:BQQ262171 CAM262164:CAM262171 CKI262164:CKI262171 CUE262164:CUE262171 DEA262164:DEA262171 DNW262164:DNW262171 DXS262164:DXS262171 EHO262164:EHO262171 ERK262164:ERK262171 FBG262164:FBG262171 FLC262164:FLC262171 FUY262164:FUY262171 GEU262164:GEU262171 GOQ262164:GOQ262171 GYM262164:GYM262171 HII262164:HII262171 HSE262164:HSE262171 ICA262164:ICA262171 ILW262164:ILW262171 IVS262164:IVS262171 JFO262164:JFO262171 JPK262164:JPK262171 JZG262164:JZG262171 KJC262164:KJC262171 KSY262164:KSY262171 LCU262164:LCU262171 LMQ262164:LMQ262171 LWM262164:LWM262171 MGI262164:MGI262171 MQE262164:MQE262171 NAA262164:NAA262171 NJW262164:NJW262171 NTS262164:NTS262171 ODO262164:ODO262171 ONK262164:ONK262171 OXG262164:OXG262171 PHC262164:PHC262171 PQY262164:PQY262171 QAU262164:QAU262171 QKQ262164:QKQ262171 QUM262164:QUM262171 REI262164:REI262171 ROE262164:ROE262171 RYA262164:RYA262171 SHW262164:SHW262171 SRS262164:SRS262171 TBO262164:TBO262171 TLK262164:TLK262171 TVG262164:TVG262171 UFC262164:UFC262171 UOY262164:UOY262171 UYU262164:UYU262171 VIQ262164:VIQ262171 VSM262164:VSM262171 WCI262164:WCI262171 WME262164:WME262171 WWA262164:WWA262171 S327700:S327707 JO327700:JO327707 TK327700:TK327707 ADG327700:ADG327707 ANC327700:ANC327707 AWY327700:AWY327707 BGU327700:BGU327707 BQQ327700:BQQ327707 CAM327700:CAM327707 CKI327700:CKI327707 CUE327700:CUE327707 DEA327700:DEA327707 DNW327700:DNW327707 DXS327700:DXS327707 EHO327700:EHO327707 ERK327700:ERK327707 FBG327700:FBG327707 FLC327700:FLC327707 FUY327700:FUY327707 GEU327700:GEU327707 GOQ327700:GOQ327707 GYM327700:GYM327707 HII327700:HII327707 HSE327700:HSE327707 ICA327700:ICA327707 ILW327700:ILW327707 IVS327700:IVS327707 JFO327700:JFO327707 JPK327700:JPK327707 JZG327700:JZG327707 KJC327700:KJC327707 KSY327700:KSY327707 LCU327700:LCU327707 LMQ327700:LMQ327707 LWM327700:LWM327707 MGI327700:MGI327707 MQE327700:MQE327707 NAA327700:NAA327707 NJW327700:NJW327707 NTS327700:NTS327707 ODO327700:ODO327707 ONK327700:ONK327707 OXG327700:OXG327707 PHC327700:PHC327707 PQY327700:PQY327707 QAU327700:QAU327707 QKQ327700:QKQ327707 QUM327700:QUM327707 REI327700:REI327707 ROE327700:ROE327707 RYA327700:RYA327707 SHW327700:SHW327707 SRS327700:SRS327707 TBO327700:TBO327707 TLK327700:TLK327707 TVG327700:TVG327707 UFC327700:UFC327707 UOY327700:UOY327707 UYU327700:UYU327707 VIQ327700:VIQ327707 VSM327700:VSM327707 WCI327700:WCI327707 WME327700:WME327707 WWA327700:WWA327707 S393236:S393243 JO393236:JO393243 TK393236:TK393243 ADG393236:ADG393243 ANC393236:ANC393243 AWY393236:AWY393243 BGU393236:BGU393243 BQQ393236:BQQ393243 CAM393236:CAM393243 CKI393236:CKI393243 CUE393236:CUE393243 DEA393236:DEA393243 DNW393236:DNW393243 DXS393236:DXS393243 EHO393236:EHO393243 ERK393236:ERK393243 FBG393236:FBG393243 FLC393236:FLC393243 FUY393236:FUY393243 GEU393236:GEU393243 GOQ393236:GOQ393243 GYM393236:GYM393243 HII393236:HII393243 HSE393236:HSE393243 ICA393236:ICA393243 ILW393236:ILW393243 IVS393236:IVS393243 JFO393236:JFO393243 JPK393236:JPK393243 JZG393236:JZG393243 KJC393236:KJC393243 KSY393236:KSY393243 LCU393236:LCU393243 LMQ393236:LMQ393243 LWM393236:LWM393243 MGI393236:MGI393243 MQE393236:MQE393243 NAA393236:NAA393243 NJW393236:NJW393243 NTS393236:NTS393243 ODO393236:ODO393243 ONK393236:ONK393243 OXG393236:OXG393243 PHC393236:PHC393243 PQY393236:PQY393243 QAU393236:QAU393243 QKQ393236:QKQ393243 QUM393236:QUM393243 REI393236:REI393243 ROE393236:ROE393243 RYA393236:RYA393243 SHW393236:SHW393243 SRS393236:SRS393243 TBO393236:TBO393243 TLK393236:TLK393243 TVG393236:TVG393243 UFC393236:UFC393243 UOY393236:UOY393243 UYU393236:UYU393243 VIQ393236:VIQ393243 VSM393236:VSM393243 WCI393236:WCI393243 WME393236:WME393243 WWA393236:WWA393243 S458772:S458779 JO458772:JO458779 TK458772:TK458779 ADG458772:ADG458779 ANC458772:ANC458779 AWY458772:AWY458779 BGU458772:BGU458779 BQQ458772:BQQ458779 CAM458772:CAM458779 CKI458772:CKI458779 CUE458772:CUE458779 DEA458772:DEA458779 DNW458772:DNW458779 DXS458772:DXS458779 EHO458772:EHO458779 ERK458772:ERK458779 FBG458772:FBG458779 FLC458772:FLC458779 FUY458772:FUY458779 GEU458772:GEU458779 GOQ458772:GOQ458779 GYM458772:GYM458779 HII458772:HII458779 HSE458772:HSE458779 ICA458772:ICA458779 ILW458772:ILW458779 IVS458772:IVS458779 JFO458772:JFO458779 JPK458772:JPK458779 JZG458772:JZG458779 KJC458772:KJC458779 KSY458772:KSY458779 LCU458772:LCU458779 LMQ458772:LMQ458779 LWM458772:LWM458779 MGI458772:MGI458779 MQE458772:MQE458779 NAA458772:NAA458779 NJW458772:NJW458779 NTS458772:NTS458779 ODO458772:ODO458779 ONK458772:ONK458779 OXG458772:OXG458779 PHC458772:PHC458779 PQY458772:PQY458779 QAU458772:QAU458779 QKQ458772:QKQ458779 QUM458772:QUM458779 REI458772:REI458779 ROE458772:ROE458779 RYA458772:RYA458779 SHW458772:SHW458779 SRS458772:SRS458779 TBO458772:TBO458779 TLK458772:TLK458779 TVG458772:TVG458779 UFC458772:UFC458779 UOY458772:UOY458779 UYU458772:UYU458779 VIQ458772:VIQ458779 VSM458772:VSM458779 WCI458772:WCI458779 WME458772:WME458779 WWA458772:WWA458779 S524308:S524315 JO524308:JO524315 TK524308:TK524315 ADG524308:ADG524315 ANC524308:ANC524315 AWY524308:AWY524315 BGU524308:BGU524315 BQQ524308:BQQ524315 CAM524308:CAM524315 CKI524308:CKI524315 CUE524308:CUE524315 DEA524308:DEA524315 DNW524308:DNW524315 DXS524308:DXS524315 EHO524308:EHO524315 ERK524308:ERK524315 FBG524308:FBG524315 FLC524308:FLC524315 FUY524308:FUY524315 GEU524308:GEU524315 GOQ524308:GOQ524315 GYM524308:GYM524315 HII524308:HII524315 HSE524308:HSE524315 ICA524308:ICA524315 ILW524308:ILW524315 IVS524308:IVS524315 JFO524308:JFO524315 JPK524308:JPK524315 JZG524308:JZG524315 KJC524308:KJC524315 KSY524308:KSY524315 LCU524308:LCU524315 LMQ524308:LMQ524315 LWM524308:LWM524315 MGI524308:MGI524315 MQE524308:MQE524315 NAA524308:NAA524315 NJW524308:NJW524315 NTS524308:NTS524315 ODO524308:ODO524315 ONK524308:ONK524315 OXG524308:OXG524315 PHC524308:PHC524315 PQY524308:PQY524315 QAU524308:QAU524315 QKQ524308:QKQ524315 QUM524308:QUM524315 REI524308:REI524315 ROE524308:ROE524315 RYA524308:RYA524315 SHW524308:SHW524315 SRS524308:SRS524315 TBO524308:TBO524315 TLK524308:TLK524315 TVG524308:TVG524315 UFC524308:UFC524315 UOY524308:UOY524315 UYU524308:UYU524315 VIQ524308:VIQ524315 VSM524308:VSM524315 WCI524308:WCI524315 WME524308:WME524315 WWA524308:WWA524315 S589844:S589851 JO589844:JO589851 TK589844:TK589851 ADG589844:ADG589851 ANC589844:ANC589851 AWY589844:AWY589851 BGU589844:BGU589851 BQQ589844:BQQ589851 CAM589844:CAM589851 CKI589844:CKI589851 CUE589844:CUE589851 DEA589844:DEA589851 DNW589844:DNW589851 DXS589844:DXS589851 EHO589844:EHO589851 ERK589844:ERK589851 FBG589844:FBG589851 FLC589844:FLC589851 FUY589844:FUY589851 GEU589844:GEU589851 GOQ589844:GOQ589851 GYM589844:GYM589851 HII589844:HII589851 HSE589844:HSE589851 ICA589844:ICA589851 ILW589844:ILW589851 IVS589844:IVS589851 JFO589844:JFO589851 JPK589844:JPK589851 JZG589844:JZG589851 KJC589844:KJC589851 KSY589844:KSY589851 LCU589844:LCU589851 LMQ589844:LMQ589851 LWM589844:LWM589851 MGI589844:MGI589851 MQE589844:MQE589851 NAA589844:NAA589851 NJW589844:NJW589851 NTS589844:NTS589851 ODO589844:ODO589851 ONK589844:ONK589851 OXG589844:OXG589851 PHC589844:PHC589851 PQY589844:PQY589851 QAU589844:QAU589851 QKQ589844:QKQ589851 QUM589844:QUM589851 REI589844:REI589851 ROE589844:ROE589851 RYA589844:RYA589851 SHW589844:SHW589851 SRS589844:SRS589851 TBO589844:TBO589851 TLK589844:TLK589851 TVG589844:TVG589851 UFC589844:UFC589851 UOY589844:UOY589851 UYU589844:UYU589851 VIQ589844:VIQ589851 VSM589844:VSM589851 WCI589844:WCI589851 WME589844:WME589851 WWA589844:WWA589851 S655380:S655387 JO655380:JO655387 TK655380:TK655387 ADG655380:ADG655387 ANC655380:ANC655387 AWY655380:AWY655387 BGU655380:BGU655387 BQQ655380:BQQ655387 CAM655380:CAM655387 CKI655380:CKI655387 CUE655380:CUE655387 DEA655380:DEA655387 DNW655380:DNW655387 DXS655380:DXS655387 EHO655380:EHO655387 ERK655380:ERK655387 FBG655380:FBG655387 FLC655380:FLC655387 FUY655380:FUY655387 GEU655380:GEU655387 GOQ655380:GOQ655387 GYM655380:GYM655387 HII655380:HII655387 HSE655380:HSE655387 ICA655380:ICA655387 ILW655380:ILW655387 IVS655380:IVS655387 JFO655380:JFO655387 JPK655380:JPK655387 JZG655380:JZG655387 KJC655380:KJC655387 KSY655380:KSY655387 LCU655380:LCU655387 LMQ655380:LMQ655387 LWM655380:LWM655387 MGI655380:MGI655387 MQE655380:MQE655387 NAA655380:NAA655387 NJW655380:NJW655387 NTS655380:NTS655387 ODO655380:ODO655387 ONK655380:ONK655387 OXG655380:OXG655387 PHC655380:PHC655387 PQY655380:PQY655387 QAU655380:QAU655387 QKQ655380:QKQ655387 QUM655380:QUM655387 REI655380:REI655387 ROE655380:ROE655387 RYA655380:RYA655387 SHW655380:SHW655387 SRS655380:SRS655387 TBO655380:TBO655387 TLK655380:TLK655387 TVG655380:TVG655387 UFC655380:UFC655387 UOY655380:UOY655387 UYU655380:UYU655387 VIQ655380:VIQ655387 VSM655380:VSM655387 WCI655380:WCI655387 WME655380:WME655387 WWA655380:WWA655387 S720916:S720923 JO720916:JO720923 TK720916:TK720923 ADG720916:ADG720923 ANC720916:ANC720923 AWY720916:AWY720923 BGU720916:BGU720923 BQQ720916:BQQ720923 CAM720916:CAM720923 CKI720916:CKI720923 CUE720916:CUE720923 DEA720916:DEA720923 DNW720916:DNW720923 DXS720916:DXS720923 EHO720916:EHO720923 ERK720916:ERK720923 FBG720916:FBG720923 FLC720916:FLC720923 FUY720916:FUY720923 GEU720916:GEU720923 GOQ720916:GOQ720923 GYM720916:GYM720923 HII720916:HII720923 HSE720916:HSE720923 ICA720916:ICA720923 ILW720916:ILW720923 IVS720916:IVS720923 JFO720916:JFO720923 JPK720916:JPK720923 JZG720916:JZG720923 KJC720916:KJC720923 KSY720916:KSY720923 LCU720916:LCU720923 LMQ720916:LMQ720923 LWM720916:LWM720923 MGI720916:MGI720923 MQE720916:MQE720923 NAA720916:NAA720923 NJW720916:NJW720923 NTS720916:NTS720923 ODO720916:ODO720923 ONK720916:ONK720923 OXG720916:OXG720923 PHC720916:PHC720923 PQY720916:PQY720923 QAU720916:QAU720923 QKQ720916:QKQ720923 QUM720916:QUM720923 REI720916:REI720923 ROE720916:ROE720923 RYA720916:RYA720923 SHW720916:SHW720923 SRS720916:SRS720923 TBO720916:TBO720923 TLK720916:TLK720923 TVG720916:TVG720923 UFC720916:UFC720923 UOY720916:UOY720923 UYU720916:UYU720923 VIQ720916:VIQ720923 VSM720916:VSM720923 WCI720916:WCI720923 WME720916:WME720923 WWA720916:WWA720923 S786452:S786459 JO786452:JO786459 TK786452:TK786459 ADG786452:ADG786459 ANC786452:ANC786459 AWY786452:AWY786459 BGU786452:BGU786459 BQQ786452:BQQ786459 CAM786452:CAM786459 CKI786452:CKI786459 CUE786452:CUE786459 DEA786452:DEA786459 DNW786452:DNW786459 DXS786452:DXS786459 EHO786452:EHO786459 ERK786452:ERK786459 FBG786452:FBG786459 FLC786452:FLC786459 FUY786452:FUY786459 GEU786452:GEU786459 GOQ786452:GOQ786459 GYM786452:GYM786459 HII786452:HII786459 HSE786452:HSE786459 ICA786452:ICA786459 ILW786452:ILW786459 IVS786452:IVS786459 JFO786452:JFO786459 JPK786452:JPK786459 JZG786452:JZG786459 KJC786452:KJC786459 KSY786452:KSY786459 LCU786452:LCU786459 LMQ786452:LMQ786459 LWM786452:LWM786459 MGI786452:MGI786459 MQE786452:MQE786459 NAA786452:NAA786459 NJW786452:NJW786459 NTS786452:NTS786459 ODO786452:ODO786459 ONK786452:ONK786459 OXG786452:OXG786459 PHC786452:PHC786459 PQY786452:PQY786459 QAU786452:QAU786459 QKQ786452:QKQ786459 QUM786452:QUM786459 REI786452:REI786459 ROE786452:ROE786459 RYA786452:RYA786459 SHW786452:SHW786459 SRS786452:SRS786459 TBO786452:TBO786459 TLK786452:TLK786459 TVG786452:TVG786459 UFC786452:UFC786459 UOY786452:UOY786459 UYU786452:UYU786459 VIQ786452:VIQ786459 VSM786452:VSM786459 WCI786452:WCI786459 WME786452:WME786459 WWA786452:WWA786459 S851988:S851995 JO851988:JO851995 TK851988:TK851995 ADG851988:ADG851995 ANC851988:ANC851995 AWY851988:AWY851995 BGU851988:BGU851995 BQQ851988:BQQ851995 CAM851988:CAM851995 CKI851988:CKI851995 CUE851988:CUE851995 DEA851988:DEA851995 DNW851988:DNW851995 DXS851988:DXS851995 EHO851988:EHO851995 ERK851988:ERK851995 FBG851988:FBG851995 FLC851988:FLC851995 FUY851988:FUY851995 GEU851988:GEU851995 GOQ851988:GOQ851995 GYM851988:GYM851995 HII851988:HII851995 HSE851988:HSE851995 ICA851988:ICA851995 ILW851988:ILW851995 IVS851988:IVS851995 JFO851988:JFO851995 JPK851988:JPK851995 JZG851988:JZG851995 KJC851988:KJC851995 KSY851988:KSY851995 LCU851988:LCU851995 LMQ851988:LMQ851995 LWM851988:LWM851995 MGI851988:MGI851995 MQE851988:MQE851995 NAA851988:NAA851995 NJW851988:NJW851995 NTS851988:NTS851995 ODO851988:ODO851995 ONK851988:ONK851995 OXG851988:OXG851995 PHC851988:PHC851995 PQY851988:PQY851995 QAU851988:QAU851995 QKQ851988:QKQ851995 QUM851988:QUM851995 REI851988:REI851995 ROE851988:ROE851995 RYA851988:RYA851995 SHW851988:SHW851995 SRS851988:SRS851995 TBO851988:TBO851995 TLK851988:TLK851995 TVG851988:TVG851995 UFC851988:UFC851995 UOY851988:UOY851995 UYU851988:UYU851995 VIQ851988:VIQ851995 VSM851988:VSM851995 WCI851988:WCI851995 WME851988:WME851995 WWA851988:WWA851995 S917524:S917531 JO917524:JO917531 TK917524:TK917531 ADG917524:ADG917531 ANC917524:ANC917531 AWY917524:AWY917531 BGU917524:BGU917531 BQQ917524:BQQ917531 CAM917524:CAM917531 CKI917524:CKI917531 CUE917524:CUE917531 DEA917524:DEA917531 DNW917524:DNW917531 DXS917524:DXS917531 EHO917524:EHO917531 ERK917524:ERK917531 FBG917524:FBG917531 FLC917524:FLC917531 FUY917524:FUY917531 GEU917524:GEU917531 GOQ917524:GOQ917531 GYM917524:GYM917531 HII917524:HII917531 HSE917524:HSE917531 ICA917524:ICA917531 ILW917524:ILW917531 IVS917524:IVS917531 JFO917524:JFO917531 JPK917524:JPK917531 JZG917524:JZG917531 KJC917524:KJC917531 KSY917524:KSY917531 LCU917524:LCU917531 LMQ917524:LMQ917531 LWM917524:LWM917531 MGI917524:MGI917531 MQE917524:MQE917531 NAA917524:NAA917531 NJW917524:NJW917531 NTS917524:NTS917531 ODO917524:ODO917531 ONK917524:ONK917531 OXG917524:OXG917531 PHC917524:PHC917531 PQY917524:PQY917531 QAU917524:QAU917531 QKQ917524:QKQ917531 QUM917524:QUM917531 REI917524:REI917531 ROE917524:ROE917531 RYA917524:RYA917531 SHW917524:SHW917531 SRS917524:SRS917531 TBO917524:TBO917531 TLK917524:TLK917531 TVG917524:TVG917531 UFC917524:UFC917531 UOY917524:UOY917531 UYU917524:UYU917531 VIQ917524:VIQ917531 VSM917524:VSM917531 WCI917524:WCI917531 WME917524:WME917531 WWA917524:WWA917531 S983060:S983067 JO983060:JO983067 TK983060:TK983067 ADG983060:ADG983067 ANC983060:ANC983067 AWY983060:AWY983067 BGU983060:BGU983067 BQQ983060:BQQ983067 CAM983060:CAM983067 CKI983060:CKI983067 CUE983060:CUE983067 DEA983060:DEA983067 DNW983060:DNW983067 DXS983060:DXS983067 EHO983060:EHO983067 ERK983060:ERK983067 FBG983060:FBG983067 FLC983060:FLC983067 FUY983060:FUY983067 GEU983060:GEU983067 GOQ983060:GOQ983067 GYM983060:GYM983067 HII983060:HII983067 HSE983060:HSE983067 ICA983060:ICA983067 ILW983060:ILW983067 IVS983060:IVS983067 JFO983060:JFO983067 JPK983060:JPK983067 JZG983060:JZG983067 KJC983060:KJC983067 KSY983060:KSY983067 LCU983060:LCU983067 LMQ983060:LMQ983067 LWM983060:LWM983067 MGI983060:MGI983067 MQE983060:MQE983067 NAA983060:NAA983067 NJW983060:NJW983067 NTS983060:NTS983067 ODO983060:ODO983067 ONK983060:ONK983067 OXG983060:OXG983067 PHC983060:PHC983067 PQY983060:PQY983067 QAU983060:QAU983067 QKQ983060:QKQ983067 QUM983060:QUM983067 REI983060:REI983067 ROE983060:ROE983067 RYA983060:RYA983067 SHW983060:SHW983067 SRS983060:SRS983067 TBO983060:TBO983067 TLK983060:TLK983067 TVG983060:TVG983067 UFC983060:UFC983067 UOY983060:UOY983067 UYU983060:UYU983067 VIQ983060:VIQ983067 VSM983060:VSM983067 WCI983060:WCI983067 WME983060:WME983067 WWA983060:WWA983067 S7 JO5 TK5 ADG5 ANC5 AWY5 BGU5 BQQ5 CAM5 CKI5 CUE5 DEA5 DNW5 DXS5 EHO5 ERK5 FBG5 FLC5 FUY5 GEU5 GOQ5 GYM5 HII5 HSE5 ICA5 ILW5 IVS5 JFO5 JPK5 JZG5 KJC5 KSY5 LCU5 LMQ5 LWM5 MGI5 MQE5 NAA5 NJW5 NTS5 ODO5 ONK5 OXG5 PHC5 PQY5 QAU5 QKQ5 QUM5 REI5 ROE5 RYA5 SHW5 SRS5 TBO5 TLK5 TVG5 UFC5 UOY5 UYU5 VIQ5 VSM5 WCI5 WME5 WWA5 S65541 JO65541 TK65541 ADG65541 ANC65541 AWY65541 BGU65541 BQQ65541 CAM65541 CKI65541 CUE65541 DEA65541 DNW65541 DXS65541 EHO65541 ERK65541 FBG65541 FLC65541 FUY65541 GEU65541 GOQ65541 GYM65541 HII65541 HSE65541 ICA65541 ILW65541 IVS65541 JFO65541 JPK65541 JZG65541 KJC65541 KSY65541 LCU65541 LMQ65541 LWM65541 MGI65541 MQE65541 NAA65541 NJW65541 NTS65541 ODO65541 ONK65541 OXG65541 PHC65541 PQY65541 QAU65541 QKQ65541 QUM65541 REI65541 ROE65541 RYA65541 SHW65541 SRS65541 TBO65541 TLK65541 TVG65541 UFC65541 UOY65541 UYU65541 VIQ65541 VSM65541 WCI65541 WME65541 WWA65541 S131077 JO131077 TK131077 ADG131077 ANC131077 AWY131077 BGU131077 BQQ131077 CAM131077 CKI131077 CUE131077 DEA131077 DNW131077 DXS131077 EHO131077 ERK131077 FBG131077 FLC131077 FUY131077 GEU131077 GOQ131077 GYM131077 HII131077 HSE131077 ICA131077 ILW131077 IVS131077 JFO131077 JPK131077 JZG131077 KJC131077 KSY131077 LCU131077 LMQ131077 LWM131077 MGI131077 MQE131077 NAA131077 NJW131077 NTS131077 ODO131077 ONK131077 OXG131077 PHC131077 PQY131077 QAU131077 QKQ131077 QUM131077 REI131077 ROE131077 RYA131077 SHW131077 SRS131077 TBO131077 TLK131077 TVG131077 UFC131077 UOY131077 UYU131077 VIQ131077 VSM131077 WCI131077 WME131077 WWA131077 S196613 JO196613 TK196613 ADG196613 ANC196613 AWY196613 BGU196613 BQQ196613 CAM196613 CKI196613 CUE196613 DEA196613 DNW196613 DXS196613 EHO196613 ERK196613 FBG196613 FLC196613 FUY196613 GEU196613 GOQ196613 GYM196613 HII196613 HSE196613 ICA196613 ILW196613 IVS196613 JFO196613 JPK196613 JZG196613 KJC196613 KSY196613 LCU196613 LMQ196613 LWM196613 MGI196613 MQE196613 NAA196613 NJW196613 NTS196613 ODO196613 ONK196613 OXG196613 PHC196613 PQY196613 QAU196613 QKQ196613 QUM196613 REI196613 ROE196613 RYA196613 SHW196613 SRS196613 TBO196613 TLK196613 TVG196613 UFC196613 UOY196613 UYU196613 VIQ196613 VSM196613 WCI196613 WME196613 WWA196613 S262149 JO262149 TK262149 ADG262149 ANC262149 AWY262149 BGU262149 BQQ262149 CAM262149 CKI262149 CUE262149 DEA262149 DNW262149 DXS262149 EHO262149 ERK262149 FBG262149 FLC262149 FUY262149 GEU262149 GOQ262149 GYM262149 HII262149 HSE262149 ICA262149 ILW262149 IVS262149 JFO262149 JPK262149 JZG262149 KJC262149 KSY262149 LCU262149 LMQ262149 LWM262149 MGI262149 MQE262149 NAA262149 NJW262149 NTS262149 ODO262149 ONK262149 OXG262149 PHC262149 PQY262149 QAU262149 QKQ262149 QUM262149 REI262149 ROE262149 RYA262149 SHW262149 SRS262149 TBO262149 TLK262149 TVG262149 UFC262149 UOY262149 UYU262149 VIQ262149 VSM262149 WCI262149 WME262149 WWA262149 S327685 JO327685 TK327685 ADG327685 ANC327685 AWY327685 BGU327685 BQQ327685 CAM327685 CKI327685 CUE327685 DEA327685 DNW327685 DXS327685 EHO327685 ERK327685 FBG327685 FLC327685 FUY327685 GEU327685 GOQ327685 GYM327685 HII327685 HSE327685 ICA327685 ILW327685 IVS327685 JFO327685 JPK327685 JZG327685 KJC327685 KSY327685 LCU327685 LMQ327685 LWM327685 MGI327685 MQE327685 NAA327685 NJW327685 NTS327685 ODO327685 ONK327685 OXG327685 PHC327685 PQY327685 QAU327685 QKQ327685 QUM327685 REI327685 ROE327685 RYA327685 SHW327685 SRS327685 TBO327685 TLK327685 TVG327685 UFC327685 UOY327685 UYU327685 VIQ327685 VSM327685 WCI327685 WME327685 WWA327685 S393221 JO393221 TK393221 ADG393221 ANC393221 AWY393221 BGU393221 BQQ393221 CAM393221 CKI393221 CUE393221 DEA393221 DNW393221 DXS393221 EHO393221 ERK393221 FBG393221 FLC393221 FUY393221 GEU393221 GOQ393221 GYM393221 HII393221 HSE393221 ICA393221 ILW393221 IVS393221 JFO393221 JPK393221 JZG393221 KJC393221 KSY393221 LCU393221 LMQ393221 LWM393221 MGI393221 MQE393221 NAA393221 NJW393221 NTS393221 ODO393221 ONK393221 OXG393221 PHC393221 PQY393221 QAU393221 QKQ393221 QUM393221 REI393221 ROE393221 RYA393221 SHW393221 SRS393221 TBO393221 TLK393221 TVG393221 UFC393221 UOY393221 UYU393221 VIQ393221 VSM393221 WCI393221 WME393221 WWA393221 S458757 JO458757 TK458757 ADG458757 ANC458757 AWY458757 BGU458757 BQQ458757 CAM458757 CKI458757 CUE458757 DEA458757 DNW458757 DXS458757 EHO458757 ERK458757 FBG458757 FLC458757 FUY458757 GEU458757 GOQ458757 GYM458757 HII458757 HSE458757 ICA458757 ILW458757 IVS458757 JFO458757 JPK458757 JZG458757 KJC458757 KSY458757 LCU458757 LMQ458757 LWM458757 MGI458757 MQE458757 NAA458757 NJW458757 NTS458757 ODO458757 ONK458757 OXG458757 PHC458757 PQY458757 QAU458757 QKQ458757 QUM458757 REI458757 ROE458757 RYA458757 SHW458757 SRS458757 TBO458757 TLK458757 TVG458757 UFC458757 UOY458757 UYU458757 VIQ458757 VSM458757 WCI458757 WME458757 WWA458757 S524293 JO524293 TK524293 ADG524293 ANC524293 AWY524293 BGU524293 BQQ524293 CAM524293 CKI524293 CUE524293 DEA524293 DNW524293 DXS524293 EHO524293 ERK524293 FBG524293 FLC524293 FUY524293 GEU524293 GOQ524293 GYM524293 HII524293 HSE524293 ICA524293 ILW524293 IVS524293 JFO524293 JPK524293 JZG524293 KJC524293 KSY524293 LCU524293 LMQ524293 LWM524293 MGI524293 MQE524293 NAA524293 NJW524293 NTS524293 ODO524293 ONK524293 OXG524293 PHC524293 PQY524293 QAU524293 QKQ524293 QUM524293 REI524293 ROE524293 RYA524293 SHW524293 SRS524293 TBO524293 TLK524293 TVG524293 UFC524293 UOY524293 UYU524293 VIQ524293 VSM524293 WCI524293 WME524293 WWA524293 S589829 JO589829 TK589829 ADG589829 ANC589829 AWY589829 BGU589829 BQQ589829 CAM589829 CKI589829 CUE589829 DEA589829 DNW589829 DXS589829 EHO589829 ERK589829 FBG589829 FLC589829 FUY589829 GEU589829 GOQ589829 GYM589829 HII589829 HSE589829 ICA589829 ILW589829 IVS589829 JFO589829 JPK589829 JZG589829 KJC589829 KSY589829 LCU589829 LMQ589829 LWM589829 MGI589829 MQE589829 NAA589829 NJW589829 NTS589829 ODO589829 ONK589829 OXG589829 PHC589829 PQY589829 QAU589829 QKQ589829 QUM589829 REI589829 ROE589829 RYA589829 SHW589829 SRS589829 TBO589829 TLK589829 TVG589829 UFC589829 UOY589829 UYU589829 VIQ589829 VSM589829 WCI589829 WME589829 WWA589829 S655365 JO655365 TK655365 ADG655365 ANC655365 AWY655365 BGU655365 BQQ655365 CAM655365 CKI655365 CUE655365 DEA655365 DNW655365 DXS655365 EHO655365 ERK655365 FBG655365 FLC655365 FUY655365 GEU655365 GOQ655365 GYM655365 HII655365 HSE655365 ICA655365 ILW655365 IVS655365 JFO655365 JPK655365 JZG655365 KJC655365 KSY655365 LCU655365 LMQ655365 LWM655365 MGI655365 MQE655365 NAA655365 NJW655365 NTS655365 ODO655365 ONK655365 OXG655365 PHC655365 PQY655365 QAU655365 QKQ655365 QUM655365 REI655365 ROE655365 RYA655365 SHW655365 SRS655365 TBO655365 TLK655365 TVG655365 UFC655365 UOY655365 UYU655365 VIQ655365 VSM655365 WCI655365 WME655365 WWA655365 S720901 JO720901 TK720901 ADG720901 ANC720901 AWY720901 BGU720901 BQQ720901 CAM720901 CKI720901 CUE720901 DEA720901 DNW720901 DXS720901 EHO720901 ERK720901 FBG720901 FLC720901 FUY720901 GEU720901 GOQ720901 GYM720901 HII720901 HSE720901 ICA720901 ILW720901 IVS720901 JFO720901 JPK720901 JZG720901 KJC720901 KSY720901 LCU720901 LMQ720901 LWM720901 MGI720901 MQE720901 NAA720901 NJW720901 NTS720901 ODO720901 ONK720901 OXG720901 PHC720901 PQY720901 QAU720901 QKQ720901 QUM720901 REI720901 ROE720901 RYA720901 SHW720901 SRS720901 TBO720901 TLK720901 TVG720901 UFC720901 UOY720901 UYU720901 VIQ720901 VSM720901 WCI720901 WME720901 WWA720901 S786437 JO786437 TK786437 ADG786437 ANC786437 AWY786437 BGU786437 BQQ786437 CAM786437 CKI786437 CUE786437 DEA786437 DNW786437 DXS786437 EHO786437 ERK786437 FBG786437 FLC786437 FUY786437 GEU786437 GOQ786437 GYM786437 HII786437 HSE786437 ICA786437 ILW786437 IVS786437 JFO786437 JPK786437 JZG786437 KJC786437 KSY786437 LCU786437 LMQ786437 LWM786437 MGI786437 MQE786437 NAA786437 NJW786437 NTS786437 ODO786437 ONK786437 OXG786437 PHC786437 PQY786437 QAU786437 QKQ786437 QUM786437 REI786437 ROE786437 RYA786437 SHW786437 SRS786437 TBO786437 TLK786437 TVG786437 UFC786437 UOY786437 UYU786437 VIQ786437 VSM786437 WCI786437 WME786437 WWA786437 S851973 JO851973 TK851973 ADG851973 ANC851973 AWY851973 BGU851973 BQQ851973 CAM851973 CKI851973 CUE851973 DEA851973 DNW851973 DXS851973 EHO851973 ERK851973 FBG851973 FLC851973 FUY851973 GEU851973 GOQ851973 GYM851973 HII851973 HSE851973 ICA851973 ILW851973 IVS851973 JFO851973 JPK851973 JZG851973 KJC851973 KSY851973 LCU851973 LMQ851973 LWM851973 MGI851973 MQE851973 NAA851973 NJW851973 NTS851973 ODO851973 ONK851973 OXG851973 PHC851973 PQY851973 QAU851973 QKQ851973 QUM851973 REI851973 ROE851973 RYA851973 SHW851973 SRS851973 TBO851973 TLK851973 TVG851973 UFC851973 UOY851973 UYU851973 VIQ851973 VSM851973 WCI851973 WME851973 WWA851973 S917509 JO917509 TK917509 ADG917509 ANC917509 AWY917509 BGU917509 BQQ917509 CAM917509 CKI917509 CUE917509 DEA917509 DNW917509 DXS917509 EHO917509 ERK917509 FBG917509 FLC917509 FUY917509 GEU917509 GOQ917509 GYM917509 HII917509 HSE917509 ICA917509 ILW917509 IVS917509 JFO917509 JPK917509 JZG917509 KJC917509 KSY917509 LCU917509 LMQ917509 LWM917509 MGI917509 MQE917509 NAA917509 NJW917509 NTS917509 ODO917509 ONK917509 OXG917509 PHC917509 PQY917509 QAU917509 QKQ917509 QUM917509 REI917509 ROE917509 RYA917509 SHW917509 SRS917509 TBO917509 TLK917509 TVG917509 UFC917509 UOY917509 UYU917509 VIQ917509 VSM917509 WCI917509 WME917509 WWA917509 S983045 JO983045 TK983045 ADG983045 ANC983045 AWY983045 BGU983045 BQQ983045 CAM983045 CKI983045 CUE983045 DEA983045 DNW983045 DXS983045 EHO983045 ERK983045 FBG983045 FLC983045 FUY983045 GEU983045 GOQ983045 GYM983045 HII983045 HSE983045 ICA983045 ILW983045 IVS983045 JFO983045 JPK983045 JZG983045 KJC983045 KSY983045 LCU983045 LMQ983045 LWM983045 MGI983045 MQE983045 NAA983045 NJW983045 NTS983045 ODO983045 ONK983045 OXG983045 PHC983045 PQY983045 QAU983045 QKQ983045 QUM983045 REI983045 ROE983045 RYA983045 SHW983045 SRS983045 TBO983045 TLK983045 TVG983045 UFC983045 UOY983045 UYU983045 VIQ983045 VSM983045 WCI983045 WME983045 WWA983045 JO9:JO12 TK9:TK12 ADG9:ADG12 ANC9:ANC12 AWY9:AWY12 BGU9:BGU12 BQQ9:BQQ12 CAM9:CAM12 CKI9:CKI12 CUE9:CUE12 DEA9:DEA12 DNW9:DNW12 DXS9:DXS12 EHO9:EHO12 ERK9:ERK12 FBG9:FBG12 FLC9:FLC12 FUY9:FUY12 GEU9:GEU12 GOQ9:GOQ12 GYM9:GYM12 HII9:HII12 HSE9:HSE12 ICA9:ICA12 ILW9:ILW12 IVS9:IVS12 JFO9:JFO12 JPK9:JPK12 JZG9:JZG12 KJC9:KJC12 KSY9:KSY12 LCU9:LCU12 LMQ9:LMQ12 LWM9:LWM12 MGI9:MGI12 MQE9:MQE12 NAA9:NAA12 NJW9:NJW12 NTS9:NTS12 ODO9:ODO12 ONK9:ONK12 OXG9:OXG12 PHC9:PHC12 PQY9:PQY12 QAU9:QAU12 QKQ9:QKQ12 QUM9:QUM12 REI9:REI12 ROE9:ROE12 RYA9:RYA12 SHW9:SHW12 SRS9:SRS12 TBO9:TBO12 TLK9:TLK12 TVG9:TVG12 UFC9:UFC12 UOY9:UOY12 UYU9:UYU12 VIQ9:VIQ12 VSM9:VSM12 WCI9:WCI12 WME9:WME12 WWA9:WWA12 S65545:S65548 JO65545:JO65548 TK65545:TK65548 ADG65545:ADG65548 ANC65545:ANC65548 AWY65545:AWY65548 BGU65545:BGU65548 BQQ65545:BQQ65548 CAM65545:CAM65548 CKI65545:CKI65548 CUE65545:CUE65548 DEA65545:DEA65548 DNW65545:DNW65548 DXS65545:DXS65548 EHO65545:EHO65548 ERK65545:ERK65548 FBG65545:FBG65548 FLC65545:FLC65548 FUY65545:FUY65548 GEU65545:GEU65548 GOQ65545:GOQ65548 GYM65545:GYM65548 HII65545:HII65548 HSE65545:HSE65548 ICA65545:ICA65548 ILW65545:ILW65548 IVS65545:IVS65548 JFO65545:JFO65548 JPK65545:JPK65548 JZG65545:JZG65548 KJC65545:KJC65548 KSY65545:KSY65548 LCU65545:LCU65548 LMQ65545:LMQ65548 LWM65545:LWM65548 MGI65545:MGI65548 MQE65545:MQE65548 NAA65545:NAA65548 NJW65545:NJW65548 NTS65545:NTS65548 ODO65545:ODO65548 ONK65545:ONK65548 OXG65545:OXG65548 PHC65545:PHC65548 PQY65545:PQY65548 QAU65545:QAU65548 QKQ65545:QKQ65548 QUM65545:QUM65548 REI65545:REI65548 ROE65545:ROE65548 RYA65545:RYA65548 SHW65545:SHW65548 SRS65545:SRS65548 TBO65545:TBO65548 TLK65545:TLK65548 TVG65545:TVG65548 UFC65545:UFC65548 UOY65545:UOY65548 UYU65545:UYU65548 VIQ65545:VIQ65548 VSM65545:VSM65548 WCI65545:WCI65548 WME65545:WME65548 WWA65545:WWA65548 S131081:S131084 JO131081:JO131084 TK131081:TK131084 ADG131081:ADG131084 ANC131081:ANC131084 AWY131081:AWY131084 BGU131081:BGU131084 BQQ131081:BQQ131084 CAM131081:CAM131084 CKI131081:CKI131084 CUE131081:CUE131084 DEA131081:DEA131084 DNW131081:DNW131084 DXS131081:DXS131084 EHO131081:EHO131084 ERK131081:ERK131084 FBG131081:FBG131084 FLC131081:FLC131084 FUY131081:FUY131084 GEU131081:GEU131084 GOQ131081:GOQ131084 GYM131081:GYM131084 HII131081:HII131084 HSE131081:HSE131084 ICA131081:ICA131084 ILW131081:ILW131084 IVS131081:IVS131084 JFO131081:JFO131084 JPK131081:JPK131084 JZG131081:JZG131084 KJC131081:KJC131084 KSY131081:KSY131084 LCU131081:LCU131084 LMQ131081:LMQ131084 LWM131081:LWM131084 MGI131081:MGI131084 MQE131081:MQE131084 NAA131081:NAA131084 NJW131081:NJW131084 NTS131081:NTS131084 ODO131081:ODO131084 ONK131081:ONK131084 OXG131081:OXG131084 PHC131081:PHC131084 PQY131081:PQY131084 QAU131081:QAU131084 QKQ131081:QKQ131084 QUM131081:QUM131084 REI131081:REI131084 ROE131081:ROE131084 RYA131081:RYA131084 SHW131081:SHW131084 SRS131081:SRS131084 TBO131081:TBO131084 TLK131081:TLK131084 TVG131081:TVG131084 UFC131081:UFC131084 UOY131081:UOY131084 UYU131081:UYU131084 VIQ131081:VIQ131084 VSM131081:VSM131084 WCI131081:WCI131084 WME131081:WME131084 WWA131081:WWA131084 S196617:S196620 JO196617:JO196620 TK196617:TK196620 ADG196617:ADG196620 ANC196617:ANC196620 AWY196617:AWY196620 BGU196617:BGU196620 BQQ196617:BQQ196620 CAM196617:CAM196620 CKI196617:CKI196620 CUE196617:CUE196620 DEA196617:DEA196620 DNW196617:DNW196620 DXS196617:DXS196620 EHO196617:EHO196620 ERK196617:ERK196620 FBG196617:FBG196620 FLC196617:FLC196620 FUY196617:FUY196620 GEU196617:GEU196620 GOQ196617:GOQ196620 GYM196617:GYM196620 HII196617:HII196620 HSE196617:HSE196620 ICA196617:ICA196620 ILW196617:ILW196620 IVS196617:IVS196620 JFO196617:JFO196620 JPK196617:JPK196620 JZG196617:JZG196620 KJC196617:KJC196620 KSY196617:KSY196620 LCU196617:LCU196620 LMQ196617:LMQ196620 LWM196617:LWM196620 MGI196617:MGI196620 MQE196617:MQE196620 NAA196617:NAA196620 NJW196617:NJW196620 NTS196617:NTS196620 ODO196617:ODO196620 ONK196617:ONK196620 OXG196617:OXG196620 PHC196617:PHC196620 PQY196617:PQY196620 QAU196617:QAU196620 QKQ196617:QKQ196620 QUM196617:QUM196620 REI196617:REI196620 ROE196617:ROE196620 RYA196617:RYA196620 SHW196617:SHW196620 SRS196617:SRS196620 TBO196617:TBO196620 TLK196617:TLK196620 TVG196617:TVG196620 UFC196617:UFC196620 UOY196617:UOY196620 UYU196617:UYU196620 VIQ196617:VIQ196620 VSM196617:VSM196620 WCI196617:WCI196620 WME196617:WME196620 WWA196617:WWA196620 S262153:S262156 JO262153:JO262156 TK262153:TK262156 ADG262153:ADG262156 ANC262153:ANC262156 AWY262153:AWY262156 BGU262153:BGU262156 BQQ262153:BQQ262156 CAM262153:CAM262156 CKI262153:CKI262156 CUE262153:CUE262156 DEA262153:DEA262156 DNW262153:DNW262156 DXS262153:DXS262156 EHO262153:EHO262156 ERK262153:ERK262156 FBG262153:FBG262156 FLC262153:FLC262156 FUY262153:FUY262156 GEU262153:GEU262156 GOQ262153:GOQ262156 GYM262153:GYM262156 HII262153:HII262156 HSE262153:HSE262156 ICA262153:ICA262156 ILW262153:ILW262156 IVS262153:IVS262156 JFO262153:JFO262156 JPK262153:JPK262156 JZG262153:JZG262156 KJC262153:KJC262156 KSY262153:KSY262156 LCU262153:LCU262156 LMQ262153:LMQ262156 LWM262153:LWM262156 MGI262153:MGI262156 MQE262153:MQE262156 NAA262153:NAA262156 NJW262153:NJW262156 NTS262153:NTS262156 ODO262153:ODO262156 ONK262153:ONK262156 OXG262153:OXG262156 PHC262153:PHC262156 PQY262153:PQY262156 QAU262153:QAU262156 QKQ262153:QKQ262156 QUM262153:QUM262156 REI262153:REI262156 ROE262153:ROE262156 RYA262153:RYA262156 SHW262153:SHW262156 SRS262153:SRS262156 TBO262153:TBO262156 TLK262153:TLK262156 TVG262153:TVG262156 UFC262153:UFC262156 UOY262153:UOY262156 UYU262153:UYU262156 VIQ262153:VIQ262156 VSM262153:VSM262156 WCI262153:WCI262156 WME262153:WME262156 WWA262153:WWA262156 S327689:S327692 JO327689:JO327692 TK327689:TK327692 ADG327689:ADG327692 ANC327689:ANC327692 AWY327689:AWY327692 BGU327689:BGU327692 BQQ327689:BQQ327692 CAM327689:CAM327692 CKI327689:CKI327692 CUE327689:CUE327692 DEA327689:DEA327692 DNW327689:DNW327692 DXS327689:DXS327692 EHO327689:EHO327692 ERK327689:ERK327692 FBG327689:FBG327692 FLC327689:FLC327692 FUY327689:FUY327692 GEU327689:GEU327692 GOQ327689:GOQ327692 GYM327689:GYM327692 HII327689:HII327692 HSE327689:HSE327692 ICA327689:ICA327692 ILW327689:ILW327692 IVS327689:IVS327692 JFO327689:JFO327692 JPK327689:JPK327692 JZG327689:JZG327692 KJC327689:KJC327692 KSY327689:KSY327692 LCU327689:LCU327692 LMQ327689:LMQ327692 LWM327689:LWM327692 MGI327689:MGI327692 MQE327689:MQE327692 NAA327689:NAA327692 NJW327689:NJW327692 NTS327689:NTS327692 ODO327689:ODO327692 ONK327689:ONK327692 OXG327689:OXG327692 PHC327689:PHC327692 PQY327689:PQY327692 QAU327689:QAU327692 QKQ327689:QKQ327692 QUM327689:QUM327692 REI327689:REI327692 ROE327689:ROE327692 RYA327689:RYA327692 SHW327689:SHW327692 SRS327689:SRS327692 TBO327689:TBO327692 TLK327689:TLK327692 TVG327689:TVG327692 UFC327689:UFC327692 UOY327689:UOY327692 UYU327689:UYU327692 VIQ327689:VIQ327692 VSM327689:VSM327692 WCI327689:WCI327692 WME327689:WME327692 WWA327689:WWA327692 S393225:S393228 JO393225:JO393228 TK393225:TK393228 ADG393225:ADG393228 ANC393225:ANC393228 AWY393225:AWY393228 BGU393225:BGU393228 BQQ393225:BQQ393228 CAM393225:CAM393228 CKI393225:CKI393228 CUE393225:CUE393228 DEA393225:DEA393228 DNW393225:DNW393228 DXS393225:DXS393228 EHO393225:EHO393228 ERK393225:ERK393228 FBG393225:FBG393228 FLC393225:FLC393228 FUY393225:FUY393228 GEU393225:GEU393228 GOQ393225:GOQ393228 GYM393225:GYM393228 HII393225:HII393228 HSE393225:HSE393228 ICA393225:ICA393228 ILW393225:ILW393228 IVS393225:IVS393228 JFO393225:JFO393228 JPK393225:JPK393228 JZG393225:JZG393228 KJC393225:KJC393228 KSY393225:KSY393228 LCU393225:LCU393228 LMQ393225:LMQ393228 LWM393225:LWM393228 MGI393225:MGI393228 MQE393225:MQE393228 NAA393225:NAA393228 NJW393225:NJW393228 NTS393225:NTS393228 ODO393225:ODO393228 ONK393225:ONK393228 OXG393225:OXG393228 PHC393225:PHC393228 PQY393225:PQY393228 QAU393225:QAU393228 QKQ393225:QKQ393228 QUM393225:QUM393228 REI393225:REI393228 ROE393225:ROE393228 RYA393225:RYA393228 SHW393225:SHW393228 SRS393225:SRS393228 TBO393225:TBO393228 TLK393225:TLK393228 TVG393225:TVG393228 UFC393225:UFC393228 UOY393225:UOY393228 UYU393225:UYU393228 VIQ393225:VIQ393228 VSM393225:VSM393228 WCI393225:WCI393228 WME393225:WME393228 WWA393225:WWA393228 S458761:S458764 JO458761:JO458764 TK458761:TK458764 ADG458761:ADG458764 ANC458761:ANC458764 AWY458761:AWY458764 BGU458761:BGU458764 BQQ458761:BQQ458764 CAM458761:CAM458764 CKI458761:CKI458764 CUE458761:CUE458764 DEA458761:DEA458764 DNW458761:DNW458764 DXS458761:DXS458764 EHO458761:EHO458764 ERK458761:ERK458764 FBG458761:FBG458764 FLC458761:FLC458764 FUY458761:FUY458764 GEU458761:GEU458764 GOQ458761:GOQ458764 GYM458761:GYM458764 HII458761:HII458764 HSE458761:HSE458764 ICA458761:ICA458764 ILW458761:ILW458764 IVS458761:IVS458764 JFO458761:JFO458764 JPK458761:JPK458764 JZG458761:JZG458764 KJC458761:KJC458764 KSY458761:KSY458764 LCU458761:LCU458764 LMQ458761:LMQ458764 LWM458761:LWM458764 MGI458761:MGI458764 MQE458761:MQE458764 NAA458761:NAA458764 NJW458761:NJW458764 NTS458761:NTS458764 ODO458761:ODO458764 ONK458761:ONK458764 OXG458761:OXG458764 PHC458761:PHC458764 PQY458761:PQY458764 QAU458761:QAU458764 QKQ458761:QKQ458764 QUM458761:QUM458764 REI458761:REI458764 ROE458761:ROE458764 RYA458761:RYA458764 SHW458761:SHW458764 SRS458761:SRS458764 TBO458761:TBO458764 TLK458761:TLK458764 TVG458761:TVG458764 UFC458761:UFC458764 UOY458761:UOY458764 UYU458761:UYU458764 VIQ458761:VIQ458764 VSM458761:VSM458764 WCI458761:WCI458764 WME458761:WME458764 WWA458761:WWA458764 S524297:S524300 JO524297:JO524300 TK524297:TK524300 ADG524297:ADG524300 ANC524297:ANC524300 AWY524297:AWY524300 BGU524297:BGU524300 BQQ524297:BQQ524300 CAM524297:CAM524300 CKI524297:CKI524300 CUE524297:CUE524300 DEA524297:DEA524300 DNW524297:DNW524300 DXS524297:DXS524300 EHO524297:EHO524300 ERK524297:ERK524300 FBG524297:FBG524300 FLC524297:FLC524300 FUY524297:FUY524300 GEU524297:GEU524300 GOQ524297:GOQ524300 GYM524297:GYM524300 HII524297:HII524300 HSE524297:HSE524300 ICA524297:ICA524300 ILW524297:ILW524300 IVS524297:IVS524300 JFO524297:JFO524300 JPK524297:JPK524300 JZG524297:JZG524300 KJC524297:KJC524300 KSY524297:KSY524300 LCU524297:LCU524300 LMQ524297:LMQ524300 LWM524297:LWM524300 MGI524297:MGI524300 MQE524297:MQE524300 NAA524297:NAA524300 NJW524297:NJW524300 NTS524297:NTS524300 ODO524297:ODO524300 ONK524297:ONK524300 OXG524297:OXG524300 PHC524297:PHC524300 PQY524297:PQY524300 QAU524297:QAU524300 QKQ524297:QKQ524300 QUM524297:QUM524300 REI524297:REI524300 ROE524297:ROE524300 RYA524297:RYA524300 SHW524297:SHW524300 SRS524297:SRS524300 TBO524297:TBO524300 TLK524297:TLK524300 TVG524297:TVG524300 UFC524297:UFC524300 UOY524297:UOY524300 UYU524297:UYU524300 VIQ524297:VIQ524300 VSM524297:VSM524300 WCI524297:WCI524300 WME524297:WME524300 WWA524297:WWA524300 S589833:S589836 JO589833:JO589836 TK589833:TK589836 ADG589833:ADG589836 ANC589833:ANC589836 AWY589833:AWY589836 BGU589833:BGU589836 BQQ589833:BQQ589836 CAM589833:CAM589836 CKI589833:CKI589836 CUE589833:CUE589836 DEA589833:DEA589836 DNW589833:DNW589836 DXS589833:DXS589836 EHO589833:EHO589836 ERK589833:ERK589836 FBG589833:FBG589836 FLC589833:FLC589836 FUY589833:FUY589836 GEU589833:GEU589836 GOQ589833:GOQ589836 GYM589833:GYM589836 HII589833:HII589836 HSE589833:HSE589836 ICA589833:ICA589836 ILW589833:ILW589836 IVS589833:IVS589836 JFO589833:JFO589836 JPK589833:JPK589836 JZG589833:JZG589836 KJC589833:KJC589836 KSY589833:KSY589836 LCU589833:LCU589836 LMQ589833:LMQ589836 LWM589833:LWM589836 MGI589833:MGI589836 MQE589833:MQE589836 NAA589833:NAA589836 NJW589833:NJW589836 NTS589833:NTS589836 ODO589833:ODO589836 ONK589833:ONK589836 OXG589833:OXG589836 PHC589833:PHC589836 PQY589833:PQY589836 QAU589833:QAU589836 QKQ589833:QKQ589836 QUM589833:QUM589836 REI589833:REI589836 ROE589833:ROE589836 RYA589833:RYA589836 SHW589833:SHW589836 SRS589833:SRS589836 TBO589833:TBO589836 TLK589833:TLK589836 TVG589833:TVG589836 UFC589833:UFC589836 UOY589833:UOY589836 UYU589833:UYU589836 VIQ589833:VIQ589836 VSM589833:VSM589836 WCI589833:WCI589836 WME589833:WME589836 WWA589833:WWA589836 S655369:S655372 JO655369:JO655372 TK655369:TK655372 ADG655369:ADG655372 ANC655369:ANC655372 AWY655369:AWY655372 BGU655369:BGU655372 BQQ655369:BQQ655372 CAM655369:CAM655372 CKI655369:CKI655372 CUE655369:CUE655372 DEA655369:DEA655372 DNW655369:DNW655372 DXS655369:DXS655372 EHO655369:EHO655372 ERK655369:ERK655372 FBG655369:FBG655372 FLC655369:FLC655372 FUY655369:FUY655372 GEU655369:GEU655372 GOQ655369:GOQ655372 GYM655369:GYM655372 HII655369:HII655372 HSE655369:HSE655372 ICA655369:ICA655372 ILW655369:ILW655372 IVS655369:IVS655372 JFO655369:JFO655372 JPK655369:JPK655372 JZG655369:JZG655372 KJC655369:KJC655372 KSY655369:KSY655372 LCU655369:LCU655372 LMQ655369:LMQ655372 LWM655369:LWM655372 MGI655369:MGI655372 MQE655369:MQE655372 NAA655369:NAA655372 NJW655369:NJW655372 NTS655369:NTS655372 ODO655369:ODO655372 ONK655369:ONK655372 OXG655369:OXG655372 PHC655369:PHC655372 PQY655369:PQY655372 QAU655369:QAU655372 QKQ655369:QKQ655372 QUM655369:QUM655372 REI655369:REI655372 ROE655369:ROE655372 RYA655369:RYA655372 SHW655369:SHW655372 SRS655369:SRS655372 TBO655369:TBO655372 TLK655369:TLK655372 TVG655369:TVG655372 UFC655369:UFC655372 UOY655369:UOY655372 UYU655369:UYU655372 VIQ655369:VIQ655372 VSM655369:VSM655372 WCI655369:WCI655372 WME655369:WME655372 WWA655369:WWA655372 S720905:S720908 JO720905:JO720908 TK720905:TK720908 ADG720905:ADG720908 ANC720905:ANC720908 AWY720905:AWY720908 BGU720905:BGU720908 BQQ720905:BQQ720908 CAM720905:CAM720908 CKI720905:CKI720908 CUE720905:CUE720908 DEA720905:DEA720908 DNW720905:DNW720908 DXS720905:DXS720908 EHO720905:EHO720908 ERK720905:ERK720908 FBG720905:FBG720908 FLC720905:FLC720908 FUY720905:FUY720908 GEU720905:GEU720908 GOQ720905:GOQ720908 GYM720905:GYM720908 HII720905:HII720908 HSE720905:HSE720908 ICA720905:ICA720908 ILW720905:ILW720908 IVS720905:IVS720908 JFO720905:JFO720908 JPK720905:JPK720908 JZG720905:JZG720908 KJC720905:KJC720908 KSY720905:KSY720908 LCU720905:LCU720908 LMQ720905:LMQ720908 LWM720905:LWM720908 MGI720905:MGI720908 MQE720905:MQE720908 NAA720905:NAA720908 NJW720905:NJW720908 NTS720905:NTS720908 ODO720905:ODO720908 ONK720905:ONK720908 OXG720905:OXG720908 PHC720905:PHC720908 PQY720905:PQY720908 QAU720905:QAU720908 QKQ720905:QKQ720908 QUM720905:QUM720908 REI720905:REI720908 ROE720905:ROE720908 RYA720905:RYA720908 SHW720905:SHW720908 SRS720905:SRS720908 TBO720905:TBO720908 TLK720905:TLK720908 TVG720905:TVG720908 UFC720905:UFC720908 UOY720905:UOY720908 UYU720905:UYU720908 VIQ720905:VIQ720908 VSM720905:VSM720908 WCI720905:WCI720908 WME720905:WME720908 WWA720905:WWA720908 S786441:S786444 JO786441:JO786444 TK786441:TK786444 ADG786441:ADG786444 ANC786441:ANC786444 AWY786441:AWY786444 BGU786441:BGU786444 BQQ786441:BQQ786444 CAM786441:CAM786444 CKI786441:CKI786444 CUE786441:CUE786444 DEA786441:DEA786444 DNW786441:DNW786444 DXS786441:DXS786444 EHO786441:EHO786444 ERK786441:ERK786444 FBG786441:FBG786444 FLC786441:FLC786444 FUY786441:FUY786444 GEU786441:GEU786444 GOQ786441:GOQ786444 GYM786441:GYM786444 HII786441:HII786444 HSE786441:HSE786444 ICA786441:ICA786444 ILW786441:ILW786444 IVS786441:IVS786444 JFO786441:JFO786444 JPK786441:JPK786444 JZG786441:JZG786444 KJC786441:KJC786444 KSY786441:KSY786444 LCU786441:LCU786444 LMQ786441:LMQ786444 LWM786441:LWM786444 MGI786441:MGI786444 MQE786441:MQE786444 NAA786441:NAA786444 NJW786441:NJW786444 NTS786441:NTS786444 ODO786441:ODO786444 ONK786441:ONK786444 OXG786441:OXG786444 PHC786441:PHC786444 PQY786441:PQY786444 QAU786441:QAU786444 QKQ786441:QKQ786444 QUM786441:QUM786444 REI786441:REI786444 ROE786441:ROE786444 RYA786441:RYA786444 SHW786441:SHW786444 SRS786441:SRS786444 TBO786441:TBO786444 TLK786441:TLK786444 TVG786441:TVG786444 UFC786441:UFC786444 UOY786441:UOY786444 UYU786441:UYU786444 VIQ786441:VIQ786444 VSM786441:VSM786444 WCI786441:WCI786444 WME786441:WME786444 WWA786441:WWA786444 S851977:S851980 JO851977:JO851980 TK851977:TK851980 ADG851977:ADG851980 ANC851977:ANC851980 AWY851977:AWY851980 BGU851977:BGU851980 BQQ851977:BQQ851980 CAM851977:CAM851980 CKI851977:CKI851980 CUE851977:CUE851980 DEA851977:DEA851980 DNW851977:DNW851980 DXS851977:DXS851980 EHO851977:EHO851980 ERK851977:ERK851980 FBG851977:FBG851980 FLC851977:FLC851980 FUY851977:FUY851980 GEU851977:GEU851980 GOQ851977:GOQ851980 GYM851977:GYM851980 HII851977:HII851980 HSE851977:HSE851980 ICA851977:ICA851980 ILW851977:ILW851980 IVS851977:IVS851980 JFO851977:JFO851980 JPK851977:JPK851980 JZG851977:JZG851980 KJC851977:KJC851980 KSY851977:KSY851980 LCU851977:LCU851980 LMQ851977:LMQ851980 LWM851977:LWM851980 MGI851977:MGI851980 MQE851977:MQE851980 NAA851977:NAA851980 NJW851977:NJW851980 NTS851977:NTS851980 ODO851977:ODO851980 ONK851977:ONK851980 OXG851977:OXG851980 PHC851977:PHC851980 PQY851977:PQY851980 QAU851977:QAU851980 QKQ851977:QKQ851980 QUM851977:QUM851980 REI851977:REI851980 ROE851977:ROE851980 RYA851977:RYA851980 SHW851977:SHW851980 SRS851977:SRS851980 TBO851977:TBO851980 TLK851977:TLK851980 TVG851977:TVG851980 UFC851977:UFC851980 UOY851977:UOY851980 UYU851977:UYU851980 VIQ851977:VIQ851980 VSM851977:VSM851980 WCI851977:WCI851980 WME851977:WME851980 WWA851977:WWA851980 S917513:S917516 JO917513:JO917516 TK917513:TK917516 ADG917513:ADG917516 ANC917513:ANC917516 AWY917513:AWY917516 BGU917513:BGU917516 BQQ917513:BQQ917516 CAM917513:CAM917516 CKI917513:CKI917516 CUE917513:CUE917516 DEA917513:DEA917516 DNW917513:DNW917516 DXS917513:DXS917516 EHO917513:EHO917516 ERK917513:ERK917516 FBG917513:FBG917516 FLC917513:FLC917516 FUY917513:FUY917516 GEU917513:GEU917516 GOQ917513:GOQ917516 GYM917513:GYM917516 HII917513:HII917516 HSE917513:HSE917516 ICA917513:ICA917516 ILW917513:ILW917516 IVS917513:IVS917516 JFO917513:JFO917516 JPK917513:JPK917516 JZG917513:JZG917516 KJC917513:KJC917516 KSY917513:KSY917516 LCU917513:LCU917516 LMQ917513:LMQ917516 LWM917513:LWM917516 MGI917513:MGI917516 MQE917513:MQE917516 NAA917513:NAA917516 NJW917513:NJW917516 NTS917513:NTS917516 ODO917513:ODO917516 ONK917513:ONK917516 OXG917513:OXG917516 PHC917513:PHC917516 PQY917513:PQY917516 QAU917513:QAU917516 QKQ917513:QKQ917516 QUM917513:QUM917516 REI917513:REI917516 ROE917513:ROE917516 RYA917513:RYA917516 SHW917513:SHW917516 SRS917513:SRS917516 TBO917513:TBO917516 TLK917513:TLK917516 TVG917513:TVG917516 UFC917513:UFC917516 UOY917513:UOY917516 UYU917513:UYU917516 VIQ917513:VIQ917516 VSM917513:VSM917516 WCI917513:WCI917516 WME917513:WME917516 WWA917513:WWA917516 S983049:S983052 JO983049:JO983052 TK983049:TK983052 ADG983049:ADG983052 ANC983049:ANC983052 AWY983049:AWY983052 BGU983049:BGU983052 BQQ983049:BQQ983052 CAM983049:CAM983052 CKI983049:CKI983052 CUE983049:CUE983052 DEA983049:DEA983052 DNW983049:DNW983052 DXS983049:DXS983052 EHO983049:EHO983052 ERK983049:ERK983052 FBG983049:FBG983052 FLC983049:FLC983052 FUY983049:FUY983052 GEU983049:GEU983052 GOQ983049:GOQ983052 GYM983049:GYM983052 HII983049:HII983052 HSE983049:HSE983052 ICA983049:ICA983052 ILW983049:ILW983052 IVS983049:IVS983052 JFO983049:JFO983052 JPK983049:JPK983052 JZG983049:JZG983052 KJC983049:KJC983052 KSY983049:KSY983052 LCU983049:LCU983052 LMQ983049:LMQ983052 LWM983049:LWM983052 MGI983049:MGI983052 MQE983049:MQE983052 NAA983049:NAA983052 NJW983049:NJW983052 NTS983049:NTS983052 ODO983049:ODO983052 ONK983049:ONK983052 OXG983049:OXG983052 PHC983049:PHC983052 PQY983049:PQY983052 QAU983049:QAU983052 QKQ983049:QKQ983052 QUM983049:QUM983052 REI983049:REI983052 ROE983049:ROE983052 RYA983049:RYA983052 SHW983049:SHW983052 SRS983049:SRS983052 TBO983049:TBO983052 TLK983049:TLK983052 TVG983049:TVG983052 UFC983049:UFC983052 UOY983049:UOY983052 UYU983049:UYU983052 VIQ983049:VIQ983052 VSM983049:VSM983052 WCI983049:WCI983052 WME983049:WME983052 WWA983049:WWA983052 S11:S12" xr:uid="{F5224F7A-86BB-4DC9-95E4-D316C0D2538D}">
      <formula1>"% DS,% DT HT,% PV HT,% ST HT,% PR HT"</formula1>
    </dataValidation>
  </dataValidations>
  <pageMargins left="0.25" right="0.25" top="0.75" bottom="0.75" header="0.3" footer="0.3"/>
  <pageSetup paperSize="9" orientation="portrait" r:id="rId1"/>
  <headerFooter>
    <oddHeader>&amp;LEL RHALMANI OUSSAMA&amp;C&amp;"Calibri,Gras"&amp;20FEUILLE DE VENTE&amp;RTS 424 EP</oddHeader>
    <oddFooter>&amp;C&amp;P/&amp;N</oddFooter>
  </headerFooter>
  <ignoredErrors>
    <ignoredError sqref="B6:C6 B12:C13 B16:C19 B23:C24 K10 K24 K26:K27" unlockedFormula="1"/>
    <ignoredError sqref="B31 C32" evalError="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16</vt:i4>
      </vt:variant>
      <vt:variant>
        <vt:lpstr>Plages nommées</vt:lpstr>
      </vt:variant>
      <vt:variant>
        <vt:i4>2</vt:i4>
      </vt:variant>
    </vt:vector>
  </HeadingPairs>
  <TitlesOfParts>
    <vt:vector size="18" baseType="lpstr">
      <vt:lpstr>Notes</vt:lpstr>
      <vt:lpstr>CHEMINEMENT</vt:lpstr>
      <vt:lpstr>ÉTUDE DE PRIX</vt:lpstr>
      <vt:lpstr>Questionnaire</vt:lpstr>
      <vt:lpstr>(C.H.M) MAIN D'OEUVRE</vt:lpstr>
      <vt:lpstr>COÛT DES MATÉRIAUX</vt:lpstr>
      <vt:lpstr>SOUS DETAIL INTERMEDIAIRE COFFR</vt:lpstr>
      <vt:lpstr>SOUS DETAIL INTERMEDIAIRE ACIER</vt:lpstr>
      <vt:lpstr>SOUS DETAIL INTERMEDIAIRE BÉTON</vt:lpstr>
      <vt:lpstr>SOUS DETAIL INTERMEDIAIRE MORTI</vt:lpstr>
      <vt:lpstr>SOUS DETAIL UNITAIRE</vt:lpstr>
      <vt:lpstr>CALCUL DES PRIX </vt:lpstr>
      <vt:lpstr>DEVIS ESTIMATIF</vt:lpstr>
      <vt:lpstr>Coef. Vente</vt:lpstr>
      <vt:lpstr>Feuille Vente</vt:lpstr>
      <vt:lpstr>FEUILLE DE VENTE</vt:lpstr>
      <vt:lpstr>'Coef. Vente'!Zone_d_impression</vt:lpstr>
      <vt:lpstr>'Feuille Vente'!Zone_d_impression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Oussama EL RHALMANI</dc:creator>
  <cp:lastModifiedBy>examen 29</cp:lastModifiedBy>
  <cp:lastPrinted>2026-03-12T11:18:04Z</cp:lastPrinted>
  <dcterms:created xsi:type="dcterms:W3CDTF">2024-11-06T13:51:46Z</dcterms:created>
  <dcterms:modified xsi:type="dcterms:W3CDTF">2026-03-12T11:22:01Z</dcterms:modified>
</cp:coreProperties>
</file>